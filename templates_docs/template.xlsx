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840" tabRatio="294"/>
  </bookViews>
  <sheets>
    <sheet name="расчет" sheetId="4" r:id="rId1"/>
  </sheets>
  <definedNames>
    <definedName name="_xlnm._FilterDatabase" localSheetId="0" hidden="1">расчет!$A$9:$AG$36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3" i="4" l="1"/>
  <c r="I25" i="4" l="1"/>
  <c r="I12" i="4"/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24" i="4" l="1"/>
  <c r="I26" i="4" s="1"/>
  <c r="O17" i="4" l="1"/>
  <c r="N10" i="4"/>
  <c r="W10" i="4" l="1"/>
  <c r="Q10" i="4" l="1"/>
  <c r="Q11" i="4" l="1"/>
  <c r="O10" i="4"/>
  <c r="O11" i="4" s="1"/>
  <c r="I28" i="4" s="1"/>
  <c r="I29" i="4" l="1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<sst xmlns="http://schemas.openxmlformats.org/spreadsheetml/2006/main" count="96" uniqueCount="90">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</sst>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2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68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5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7" fillId="0" borderId="1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topLeftCell="A4" zoomScale="70" zoomScaleNormal="70" workbookViewId="0">
      <selection activeCell="L32" sqref="L32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34" style="141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0" customWidth="1"/>
    <col min="17" max="17" width="16.6640625" style="90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2" t="s">
        <v>32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4"/>
      <c r="AD1" s="161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34"/>
      <c r="J2" s="6"/>
      <c r="V2" s="127"/>
      <c r="W2" s="127"/>
      <c r="X2" s="127"/>
      <c r="Y2" s="127"/>
      <c r="Z2" s="127"/>
      <c r="AD2" s="161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34"/>
      <c r="J3" s="5"/>
      <c r="K3" s="2"/>
      <c r="L3" s="2"/>
      <c r="M3" s="2"/>
      <c r="N3" s="5"/>
      <c r="O3" s="5"/>
      <c r="P3" s="8"/>
      <c r="Q3" s="8"/>
      <c r="V3" s="127"/>
      <c r="W3" s="127"/>
      <c r="X3" s="127"/>
      <c r="Y3" s="127"/>
      <c r="Z3" s="127"/>
      <c r="AD3" s="161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34"/>
      <c r="J4" s="5"/>
      <c r="K4" s="2"/>
      <c r="L4" s="2"/>
      <c r="M4" s="2"/>
      <c r="N4" s="5"/>
      <c r="O4" s="5"/>
      <c r="P4" s="165"/>
      <c r="Q4" s="166"/>
      <c r="R4" s="166"/>
      <c r="S4" s="166"/>
      <c r="T4" s="166"/>
      <c r="U4" s="167"/>
      <c r="V4" s="127"/>
      <c r="W4" s="127"/>
      <c r="X4" s="127"/>
      <c r="Y4" s="127"/>
      <c r="Z4" s="127"/>
      <c r="AA4"/>
      <c r="AB4"/>
      <c r="AC4"/>
      <c r="AD4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35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27"/>
      <c r="W5" s="127"/>
      <c r="X5" s="127"/>
      <c r="Y5" s="127"/>
      <c r="Z5" s="127"/>
      <c r="AA5"/>
      <c r="AB5"/>
      <c r="AC5"/>
      <c r="AD5"/>
      <c r="AU5"/>
      <c r="AV5"/>
      <c r="AW5"/>
      <c r="AX5"/>
      <c r="AY5"/>
      <c r="AZ5"/>
    </row>
    <row r="6" spans="1:52" s="1" customFormat="1" ht="15" customHeight="1">
      <c r="A6" s="17"/>
      <c r="B6" s="130" t="s">
        <v>0</v>
      </c>
      <c r="C6" s="130"/>
      <c r="D6" s="18"/>
      <c r="E6" s="19"/>
      <c r="F6" s="20"/>
      <c r="G6" s="20"/>
      <c r="H6" s="20"/>
      <c r="I6" s="136"/>
      <c r="J6" s="20"/>
      <c r="K6" s="20"/>
      <c r="L6" s="20"/>
      <c r="M6" s="20"/>
      <c r="N6" s="20"/>
      <c r="O6" s="20"/>
      <c r="V6" s="128"/>
      <c r="W6" s="128"/>
      <c r="X6" s="128"/>
      <c r="Y6" s="128"/>
      <c r="Z6" s="128"/>
      <c r="AA6"/>
      <c r="AB6"/>
      <c r="AC6"/>
      <c r="AD6"/>
      <c r="AU6"/>
      <c r="AV6"/>
      <c r="AW6"/>
      <c r="AX6"/>
      <c r="AY6"/>
      <c r="AZ6"/>
    </row>
    <row r="7" spans="1:52" ht="15" customHeight="1">
      <c r="A7" s="15"/>
      <c r="B7" s="133" t="s">
        <v>1</v>
      </c>
      <c r="C7" s="125"/>
      <c r="D7" s="125"/>
      <c r="E7" s="125"/>
      <c r="F7" s="125"/>
      <c r="G7" s="125"/>
      <c r="H7" s="125"/>
      <c r="I7" s="137"/>
      <c r="J7" s="126"/>
      <c r="K7" s="125" t="s">
        <v>2</v>
      </c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6"/>
      <c r="AA7"/>
      <c r="AB7"/>
      <c r="AC7"/>
      <c r="AD7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38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1" t="s">
        <v>23</v>
      </c>
      <c r="Y8" s="132"/>
      <c r="Z8" s="25" t="s">
        <v>22</v>
      </c>
      <c r="AA8"/>
      <c r="AB8"/>
      <c r="AC8"/>
      <c r="AD8"/>
      <c r="AU8"/>
      <c r="AV8"/>
      <c r="AW8"/>
      <c r="AX8"/>
      <c r="AY8"/>
      <c r="AZ8"/>
    </row>
    <row r="9" spans="1:52" s="36" customFormat="1" ht="19.5" customHeight="1">
      <c r="A9" s="29"/>
      <c r="B9" s="129">
        <v>1</v>
      </c>
      <c r="C9" s="129"/>
      <c r="D9" s="30"/>
      <c r="E9" s="118"/>
      <c r="F9" s="118">
        <v>2</v>
      </c>
      <c r="G9" s="118">
        <v>3</v>
      </c>
      <c r="H9" s="31">
        <v>4</v>
      </c>
      <c r="I9" s="139">
        <v>5</v>
      </c>
      <c r="J9" s="32"/>
      <c r="K9" s="31">
        <v>6</v>
      </c>
      <c r="L9" s="33">
        <v>7</v>
      </c>
      <c r="M9" s="31">
        <v>8</v>
      </c>
      <c r="N9" s="31"/>
      <c r="O9" s="31">
        <v>9</v>
      </c>
      <c r="P9" s="31">
        <v>10</v>
      </c>
      <c r="Q9" s="34">
        <v>11</v>
      </c>
      <c r="R9" s="34">
        <v>12</v>
      </c>
      <c r="S9" s="34">
        <v>13</v>
      </c>
      <c r="T9" s="34">
        <v>14</v>
      </c>
      <c r="U9" s="35">
        <v>15</v>
      </c>
      <c r="V9" s="35"/>
      <c r="W9" s="35">
        <v>16</v>
      </c>
      <c r="X9" s="35">
        <v>17</v>
      </c>
      <c r="Y9" s="35"/>
      <c r="Z9" s="35">
        <v>19</v>
      </c>
      <c r="AA9"/>
      <c r="AB9"/>
      <c r="AC9"/>
      <c r="AD9"/>
      <c r="AU9"/>
      <c r="AV9"/>
      <c r="AW9"/>
      <c r="AX9"/>
      <c r="AY9"/>
      <c r="AZ9"/>
    </row>
    <row r="10" spans="1:52" s="55" customFormat="1" ht="56.25" customHeight="1">
      <c r="A10" s="37"/>
      <c r="B10" s="38">
        <v>1</v>
      </c>
      <c r="C10" s="39" t="s">
        <v>78</v>
      </c>
      <c r="D10" s="160"/>
      <c r="E10" s="40"/>
      <c r="F10" s="41" t="s">
        <v>31</v>
      </c>
      <c r="G10" s="154" t="s">
        <v>79</v>
      </c>
      <c r="H10" s="140"/>
      <c r="I10" s="140" t="e">
        <f>G10*H10</f>
        <v>#VALUE!</v>
      </c>
      <c r="J10" s="43" t="e">
        <f>I10*14</f>
        <v>#VALUE!</v>
      </c>
      <c r="K10" s="44" t="s">
        <v>42</v>
      </c>
      <c r="L10" s="45" t="str">
        <f>G10</f>
        <v>{{ quantity }}</v>
      </c>
      <c r="M10" s="46" t="s">
        <v>80</v>
      </c>
      <c r="N10" s="47" t="e">
        <f>M10/P10</f>
        <v>#VALUE!</v>
      </c>
      <c r="O10" s="48" t="e">
        <f>M10*L10</f>
        <v>#VALUE!</v>
      </c>
      <c r="P10" s="155" t="s">
        <v>81</v>
      </c>
      <c r="Q10" s="49" t="e">
        <f>P10*L10</f>
        <v>#VALUE!</v>
      </c>
      <c r="R10" s="50" t="e">
        <f>$U$14/$Q$11*P10/12*0.3</f>
        <v>#VALUE!</v>
      </c>
      <c r="S10" s="50" t="e">
        <f>R10*L10</f>
        <v>#VALUE!</v>
      </c>
      <c r="T10" s="50" t="e">
        <f>$U$14/$Q$11*P10/12*0.7</f>
        <v>#VALUE!</v>
      </c>
      <c r="U10" s="50" t="e">
        <f>T10*L10</f>
        <v>#VALUE!</v>
      </c>
      <c r="V10" s="51" t="e">
        <f>H10/P10</f>
        <v>#VALUE!</v>
      </c>
      <c r="W10" s="47" t="e">
        <f>N10</f>
        <v>#VALUE!</v>
      </c>
      <c r="X10" s="52" t="s">
        <v>43</v>
      </c>
      <c r="Y10" s="53" t="e">
        <f>L10*(M10+R10)*X10</f>
        <v>#VALUE!</v>
      </c>
      <c r="Z10" s="54" t="e">
        <f>(I10-O10-S10-U10-Y10-AA10-AC10-AB10)/I10</f>
        <v>#VALUE!</v>
      </c>
      <c r="AA10"/>
      <c r="AB10"/>
      <c r="AC10"/>
      <c r="AD10"/>
      <c r="AU10"/>
      <c r="AV10"/>
      <c r="AW10"/>
      <c r="AX10"/>
      <c r="AY10"/>
      <c r="AZ10"/>
    </row>
    <row r="11" spans="1:52" s="55" customFormat="1" ht="15" customHeight="1">
      <c r="A11" s="37"/>
      <c r="B11" s="56"/>
      <c r="C11" s="57"/>
      <c r="D11" s="57"/>
      <c r="F11" s="58"/>
      <c r="G11" s="124"/>
      <c r="H11" s="59"/>
      <c r="I11" s="140" t="e">
        <f>SUM(I10:I10)</f>
        <v>#VALUE!</v>
      </c>
      <c r="J11" s="60"/>
      <c r="K11" s="61"/>
      <c r="L11" s="62"/>
      <c r="M11" s="63"/>
      <c r="N11" s="64"/>
      <c r="O11" s="42" t="e">
        <f>SUM(O10:O10)</f>
        <v>#VALUE!</v>
      </c>
      <c r="P11" s="65"/>
      <c r="Q11" s="66" t="e">
        <f>SUM(Q10:Q10)</f>
        <v>#VALUE!</v>
      </c>
      <c r="R11" s="67"/>
      <c r="S11" s="42" t="e">
        <f>SUM(S10:S10)</f>
        <v>#VALUE!</v>
      </c>
      <c r="T11" s="68"/>
      <c r="U11" s="68" t="e">
        <f>SUM(U10:U10)</f>
        <v>#VALUE!</v>
      </c>
      <c r="V11" s="69"/>
      <c r="W11" s="70"/>
      <c r="X11" s="71" t="e">
        <f>AVERAGE(X10:X10)</f>
        <v>#DIV/0!</v>
      </c>
      <c r="Y11" s="42" t="e">
        <f>SUM(Y10:Y10)</f>
        <v>#VALUE!</v>
      </c>
      <c r="Z11" s="72" t="e">
        <f>(I11-O11-S11-U11-Y11-AA11-AC11-AB11)/I11</f>
        <v>#VALUE!</v>
      </c>
      <c r="AA11"/>
      <c r="AB11"/>
      <c r="AC11"/>
      <c r="AD11"/>
      <c r="AU11"/>
      <c r="AV11"/>
      <c r="AW11"/>
      <c r="AX11"/>
      <c r="AY11"/>
      <c r="AZ11"/>
    </row>
    <row r="12" spans="1:52" s="55" customFormat="1" ht="15" customHeight="1">
      <c r="A12" s="37"/>
      <c r="B12" s="56"/>
      <c r="C12" s="73"/>
      <c r="D12" s="74"/>
      <c r="E12" s="73"/>
      <c r="F12" s="75"/>
      <c r="G12" s="123"/>
      <c r="H12" s="59" t="s">
        <v>27</v>
      </c>
      <c r="I12" s="140" t="e">
        <f>I11*1.22</f>
        <v>#VALUE!</v>
      </c>
      <c r="J12" s="76"/>
      <c r="K12" s="1"/>
      <c r="L12" s="77"/>
      <c r="M12" s="78"/>
      <c r="N12" s="78"/>
      <c r="O12" s="79"/>
      <c r="P12" s="80"/>
      <c r="Q12" s="81"/>
      <c r="R12" s="82"/>
      <c r="S12" s="83"/>
      <c r="T12" s="84"/>
      <c r="U12" s="85"/>
      <c r="V12" s="69"/>
      <c r="W12" s="70"/>
      <c r="X12" s="86"/>
      <c r="Y12" s="87"/>
      <c r="Z12" s="88"/>
      <c r="AA12"/>
      <c r="AB12"/>
      <c r="AC12"/>
      <c r="AD12"/>
      <c r="AU12"/>
      <c r="AV12"/>
      <c r="AW12"/>
      <c r="AX12"/>
      <c r="AY12"/>
      <c r="AZ12"/>
    </row>
    <row r="13" spans="1:52" s="1" customFormat="1" ht="14.1" customHeight="1">
      <c r="A13" s="121" t="s">
        <v>12</v>
      </c>
      <c r="B13" s="119" t="s">
        <v>45</v>
      </c>
      <c r="C13" s="120"/>
      <c r="D13" s="117"/>
      <c r="E13" s="117"/>
      <c r="F13" s="122"/>
      <c r="G13" s="122"/>
      <c r="H13" s="122"/>
      <c r="I13" s="141"/>
      <c r="K13" s="90"/>
      <c r="L13" s="90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U13"/>
      <c r="AV13"/>
      <c r="AW13"/>
      <c r="AX13"/>
      <c r="AY13"/>
      <c r="AZ13"/>
    </row>
    <row r="14" spans="1:52" ht="14.1" customHeight="1">
      <c r="A14" s="121" t="s">
        <v>13</v>
      </c>
      <c r="B14" s="97" t="s">
        <v>46</v>
      </c>
      <c r="C14" s="98"/>
      <c r="D14" s="98"/>
      <c r="E14" s="98"/>
      <c r="F14" s="98"/>
      <c r="G14" s="98"/>
      <c r="H14" s="98"/>
      <c r="I14" s="142"/>
      <c r="J14" s="6"/>
      <c r="K14" s="90"/>
      <c r="L14" s="90"/>
      <c r="M14" s="8"/>
      <c r="N14" s="8"/>
      <c r="O14" s="101"/>
      <c r="P14"/>
      <c r="Q14"/>
      <c r="R14"/>
      <c r="S14"/>
      <c r="T14" s="157" t="s">
        <v>83</v>
      </c>
      <c r="U14" s="156" t="s">
        <v>82</v>
      </c>
      <c r="V14"/>
      <c r="W14"/>
      <c r="X14"/>
      <c r="Y14"/>
      <c r="Z14"/>
      <c r="AA14"/>
      <c r="AB14"/>
      <c r="AC14"/>
      <c r="AD14"/>
      <c r="AU14"/>
      <c r="AV14"/>
      <c r="AW14"/>
      <c r="AX14"/>
      <c r="AY14"/>
      <c r="AZ14"/>
    </row>
    <row r="15" spans="1:52" s="1" customFormat="1" ht="14.1" customHeight="1">
      <c r="A15" s="89" t="s">
        <v>20</v>
      </c>
      <c r="B15" s="97" t="s">
        <v>47</v>
      </c>
      <c r="C15" s="98"/>
      <c r="D15" s="98"/>
      <c r="E15" s="98"/>
      <c r="F15" s="98"/>
      <c r="G15" s="98"/>
      <c r="H15" s="98"/>
      <c r="I15" s="143">
        <v>150</v>
      </c>
      <c r="J15" s="1" t="s">
        <v>49</v>
      </c>
      <c r="K15" s="90">
        <f>I15+I16</f>
        <v>180</v>
      </c>
      <c r="L15" s="90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U15"/>
      <c r="AV15"/>
      <c r="AW15"/>
      <c r="AX15"/>
      <c r="AY15"/>
      <c r="AZ15"/>
    </row>
    <row r="16" spans="1:52" s="36" customFormat="1" ht="14.1" customHeight="1">
      <c r="A16" s="89" t="s">
        <v>14</v>
      </c>
      <c r="B16" s="99" t="s">
        <v>48</v>
      </c>
      <c r="C16" s="100"/>
      <c r="D16" s="100"/>
      <c r="E16" s="100"/>
      <c r="F16" s="100"/>
      <c r="G16" s="100"/>
      <c r="H16" s="100"/>
      <c r="I16" s="144">
        <v>30</v>
      </c>
      <c r="J16" s="102"/>
      <c r="K16" s="90"/>
      <c r="L16" s="90"/>
      <c r="N16" s="1" t="s">
        <v>50</v>
      </c>
      <c r="O16" s="103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U16"/>
      <c r="AV16"/>
      <c r="AW16"/>
      <c r="AX16"/>
      <c r="AY16"/>
      <c r="AZ16"/>
    </row>
    <row r="17" spans="1:52" ht="14.1" customHeight="1">
      <c r="A17" s="89" t="s">
        <v>15</v>
      </c>
      <c r="B17" s="107" t="s">
        <v>51</v>
      </c>
      <c r="C17" s="108"/>
      <c r="D17" s="108"/>
      <c r="E17" s="108"/>
      <c r="F17" s="108"/>
      <c r="G17" s="108"/>
      <c r="H17" s="109"/>
      <c r="I17" s="145"/>
      <c r="J17" s="104"/>
      <c r="K17" s="90"/>
      <c r="L17" s="90"/>
      <c r="N17" s="1" t="s">
        <v>52</v>
      </c>
      <c r="O17" s="103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U17"/>
      <c r="AV17"/>
      <c r="AW17"/>
      <c r="AX17"/>
      <c r="AY17"/>
      <c r="AZ17"/>
    </row>
    <row r="18" spans="1:52" ht="14.1" customHeight="1">
      <c r="A18" s="89" t="s">
        <v>16</v>
      </c>
      <c r="B18" s="107" t="s">
        <v>53</v>
      </c>
      <c r="C18" s="108"/>
      <c r="D18" s="108"/>
      <c r="E18" s="108"/>
      <c r="F18" s="108"/>
      <c r="G18" s="108"/>
      <c r="H18" s="109"/>
      <c r="I18" s="146"/>
      <c r="J18" s="105"/>
      <c r="K18" s="90"/>
      <c r="L18" s="90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U18"/>
      <c r="AV18"/>
      <c r="AW18"/>
      <c r="AX18"/>
      <c r="AY18"/>
      <c r="AZ18"/>
    </row>
    <row r="19" spans="1:52" ht="18.75" customHeight="1">
      <c r="A19" s="89" t="s">
        <v>17</v>
      </c>
      <c r="B19" s="107" t="s">
        <v>54</v>
      </c>
      <c r="C19" s="108"/>
      <c r="D19" s="108"/>
      <c r="E19" s="108"/>
      <c r="F19" s="108"/>
      <c r="G19" s="108"/>
      <c r="H19" s="109"/>
      <c r="I19" s="147" t="e">
        <f>I11</f>
        <v>#VALUE!</v>
      </c>
      <c r="J19" s="106"/>
      <c r="K19" s="90"/>
      <c r="L19" s="90"/>
      <c r="M19" s="8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U19"/>
      <c r="AV19"/>
      <c r="AW19"/>
      <c r="AX19"/>
      <c r="AY19"/>
      <c r="AZ19"/>
    </row>
    <row r="20" spans="1:52" s="1" customFormat="1" ht="12" customHeight="1">
      <c r="A20" s="89" t="s">
        <v>18</v>
      </c>
      <c r="B20" s="107"/>
      <c r="C20" s="108"/>
      <c r="D20" s="108"/>
      <c r="E20" s="108"/>
      <c r="F20" s="108"/>
      <c r="G20" s="108"/>
      <c r="H20" s="109"/>
      <c r="I20" s="147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U20"/>
      <c r="AV20"/>
      <c r="AW20"/>
      <c r="AX20"/>
      <c r="AY20"/>
      <c r="AZ20"/>
    </row>
    <row r="21" spans="1:52" s="1" customFormat="1" ht="12" customHeight="1">
      <c r="A21" s="89" t="s">
        <v>19</v>
      </c>
      <c r="B21" s="107"/>
      <c r="C21" s="108"/>
      <c r="D21" s="108"/>
      <c r="E21" s="108"/>
      <c r="F21" s="108"/>
      <c r="G21" s="108"/>
      <c r="H21" s="109"/>
      <c r="I21" s="147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U21"/>
      <c r="AV21"/>
      <c r="AW21"/>
      <c r="AX21"/>
      <c r="AY21"/>
      <c r="AZ21"/>
    </row>
    <row r="22" spans="1:52" s="1" customFormat="1" ht="11.1" customHeight="1">
      <c r="A22" s="89" t="s">
        <v>16</v>
      </c>
      <c r="B22" s="107"/>
      <c r="C22" s="108"/>
      <c r="D22" s="108"/>
      <c r="E22" s="108"/>
      <c r="F22" s="108"/>
      <c r="G22" s="108"/>
      <c r="H22" s="109"/>
      <c r="I22" s="147"/>
      <c r="J22"/>
      <c r="K22"/>
      <c r="L22"/>
      <c r="M22" s="158" t="s">
        <v>85</v>
      </c>
      <c r="N22" s="159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U22"/>
      <c r="AV22"/>
      <c r="AW22"/>
      <c r="AX22"/>
      <c r="AY22"/>
      <c r="AZ22"/>
    </row>
    <row r="23" spans="1:52" s="94" customFormat="1" ht="15" customHeight="1">
      <c r="A23" s="91" t="s">
        <v>17</v>
      </c>
      <c r="B23" s="111" t="s">
        <v>55</v>
      </c>
      <c r="C23" s="110"/>
      <c r="D23" s="108"/>
      <c r="E23" s="108"/>
      <c r="F23" s="108"/>
      <c r="G23" s="108"/>
      <c r="H23" s="109"/>
      <c r="I23" s="148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U23"/>
      <c r="AV23"/>
      <c r="AW23"/>
      <c r="AX23"/>
      <c r="AY23"/>
      <c r="AZ23"/>
    </row>
    <row r="24" spans="1:52" s="92" customFormat="1" ht="15" customHeight="1">
      <c r="A24" s="95"/>
      <c r="B24" s="107" t="s">
        <v>56</v>
      </c>
      <c r="C24" s="108"/>
      <c r="D24" s="108"/>
      <c r="E24" s="108"/>
      <c r="F24" s="108"/>
      <c r="G24" s="108"/>
      <c r="H24" s="109"/>
      <c r="I24" s="149" t="e">
        <f>I12</f>
        <v>#VALUE!</v>
      </c>
      <c r="J24"/>
      <c r="K24"/>
      <c r="L24"/>
      <c r="M24" s="158" t="s">
        <v>86</v>
      </c>
      <c r="N24" s="159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U24"/>
      <c r="AV24"/>
      <c r="AW24"/>
      <c r="AX24"/>
      <c r="AY24"/>
      <c r="AZ24"/>
    </row>
    <row r="25" spans="1:52" s="55" customFormat="1" ht="15" customHeight="1">
      <c r="A25" s="37"/>
      <c r="B25" s="107" t="s">
        <v>57</v>
      </c>
      <c r="C25" s="108"/>
      <c r="D25" s="108"/>
      <c r="E25" s="108"/>
      <c r="F25" s="108"/>
      <c r="G25" s="108"/>
      <c r="H25" s="109"/>
      <c r="I25" s="150" t="e">
        <f>I24/122*22</f>
        <v>#VALUE!</v>
      </c>
      <c r="J25"/>
      <c r="K25"/>
      <c r="L25"/>
      <c r="M25" s="94"/>
      <c r="N25" s="94"/>
      <c r="O25"/>
      <c r="P25"/>
      <c r="Q25"/>
      <c r="R25"/>
      <c r="S25"/>
      <c r="T25"/>
      <c r="U25"/>
      <c r="V25"/>
      <c r="W25"/>
      <c r="X25"/>
      <c r="Y25"/>
      <c r="Z25"/>
      <c r="AA25"/>
      <c r="AD25" s="161"/>
      <c r="AU25"/>
      <c r="AV25"/>
      <c r="AW25"/>
      <c r="AX25"/>
      <c r="AY25"/>
      <c r="AZ25"/>
    </row>
    <row r="26" spans="1:52" s="90" customFormat="1" ht="15" customHeight="1">
      <c r="A26" s="96"/>
      <c r="B26" s="107" t="s">
        <v>58</v>
      </c>
      <c r="C26" s="108"/>
      <c r="D26" s="108"/>
      <c r="E26" s="108"/>
      <c r="F26" s="108"/>
      <c r="G26" s="108"/>
      <c r="H26" s="109"/>
      <c r="I26" s="150" t="e">
        <f>I24-I25</f>
        <v>#VALUE!</v>
      </c>
      <c r="J26"/>
      <c r="K26"/>
      <c r="L26"/>
      <c r="M26" s="158" t="s">
        <v>88</v>
      </c>
      <c r="N26" s="159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61"/>
      <c r="AU26"/>
      <c r="AV26"/>
      <c r="AW26"/>
      <c r="AX26"/>
      <c r="AY26"/>
      <c r="AZ26"/>
    </row>
    <row r="27" spans="1:52" s="90" customFormat="1" ht="15" customHeight="1">
      <c r="A27" s="96"/>
      <c r="B27" s="107" t="s">
        <v>59</v>
      </c>
      <c r="C27" s="108"/>
      <c r="D27" s="108"/>
      <c r="E27" s="108"/>
      <c r="F27" s="108"/>
      <c r="G27" s="108"/>
      <c r="H27" s="109"/>
      <c r="I27" s="150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61"/>
      <c r="AU27"/>
      <c r="AV27"/>
      <c r="AW27"/>
      <c r="AX27"/>
      <c r="AY27"/>
      <c r="AZ27"/>
    </row>
    <row r="28" spans="1:52" s="90" customFormat="1" ht="15" customHeight="1">
      <c r="A28" s="96"/>
      <c r="B28" s="107" t="s">
        <v>60</v>
      </c>
      <c r="C28" s="108"/>
      <c r="D28" s="108"/>
      <c r="E28" s="108"/>
      <c r="F28" s="108"/>
      <c r="G28" s="108"/>
      <c r="H28" s="109"/>
      <c r="I28" s="150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61"/>
      <c r="AU28"/>
      <c r="AV28"/>
      <c r="AW28"/>
      <c r="AX28"/>
      <c r="AY28"/>
      <c r="AZ28"/>
    </row>
    <row r="29" spans="1:52" s="90" customFormat="1" ht="15" customHeight="1">
      <c r="A29" s="96"/>
      <c r="B29" s="115" t="s">
        <v>61</v>
      </c>
      <c r="C29" s="116"/>
      <c r="D29" s="116"/>
      <c r="E29" s="116"/>
      <c r="F29" s="116"/>
      <c r="G29" s="113"/>
      <c r="H29" s="112" t="s">
        <v>62</v>
      </c>
      <c r="I29" s="151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61"/>
      <c r="AU29"/>
      <c r="AV29"/>
      <c r="AW29"/>
      <c r="AX29"/>
      <c r="AY29"/>
      <c r="AZ29"/>
    </row>
    <row r="30" spans="1:52" s="90" customFormat="1" ht="15" customHeight="1">
      <c r="A30" s="96"/>
      <c r="B30" s="107" t="s">
        <v>63</v>
      </c>
      <c r="C30" s="108"/>
      <c r="D30" s="108"/>
      <c r="E30" s="108"/>
      <c r="F30" s="108"/>
      <c r="G30" s="108"/>
      <c r="H30" s="109"/>
      <c r="I30" s="150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61"/>
      <c r="AU30"/>
      <c r="AV30"/>
      <c r="AW30"/>
      <c r="AX30"/>
      <c r="AY30"/>
      <c r="AZ30"/>
    </row>
    <row r="31" spans="1:52" s="90" customFormat="1" ht="15" customHeight="1">
      <c r="A31" s="96"/>
      <c r="B31" s="114" t="s">
        <v>64</v>
      </c>
      <c r="C31" s="108"/>
      <c r="D31" s="108"/>
      <c r="E31" s="108"/>
      <c r="F31" s="108"/>
      <c r="G31" s="108"/>
      <c r="H31" s="109"/>
      <c r="I31" s="150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3"/>
      <c r="AC31" s="93"/>
      <c r="AD31" s="161"/>
      <c r="AE31" s="93"/>
      <c r="AF31" s="93"/>
      <c r="AU31"/>
      <c r="AV31"/>
      <c r="AW31"/>
      <c r="AX31"/>
      <c r="AY31"/>
      <c r="AZ31"/>
    </row>
    <row r="32" spans="1:52" s="90" customFormat="1" ht="15" customHeight="1">
      <c r="A32" s="96"/>
      <c r="B32" s="114" t="s">
        <v>65</v>
      </c>
      <c r="C32" s="108"/>
      <c r="D32" s="108"/>
      <c r="E32" s="108"/>
      <c r="F32" s="108"/>
      <c r="G32" s="108"/>
      <c r="H32" s="109"/>
      <c r="I32" s="150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3"/>
      <c r="AC32" s="93"/>
      <c r="AD32" s="161"/>
      <c r="AE32" s="93"/>
      <c r="AF32" s="93"/>
      <c r="AU32"/>
      <c r="AV32"/>
      <c r="AW32"/>
      <c r="AX32"/>
      <c r="AY32"/>
      <c r="AZ32"/>
    </row>
    <row r="33" spans="1:52" s="90" customFormat="1" ht="15" customHeight="1">
      <c r="A33" s="96"/>
      <c r="B33" s="115" t="s">
        <v>69</v>
      </c>
      <c r="C33" s="116"/>
      <c r="D33" s="116"/>
      <c r="E33" s="116"/>
      <c r="F33" s="116"/>
      <c r="G33" s="113"/>
      <c r="H33" s="112" t="s">
        <v>67</v>
      </c>
      <c r="I33" s="151">
        <f>IF(H33="ДА",I28*16%/365*K15,0)</f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3"/>
      <c r="AC33" s="93"/>
      <c r="AD33" s="161"/>
      <c r="AE33" s="93"/>
      <c r="AF33" s="93"/>
      <c r="AU33"/>
      <c r="AV33"/>
      <c r="AW33"/>
      <c r="AX33"/>
      <c r="AY33"/>
      <c r="AZ33"/>
    </row>
    <row r="34" spans="1:52" s="90" customFormat="1" ht="15" customHeight="1">
      <c r="A34" s="96"/>
      <c r="B34" s="114" t="s">
        <v>70</v>
      </c>
      <c r="C34" s="108"/>
      <c r="D34" s="108"/>
      <c r="E34" s="108"/>
      <c r="F34" s="108"/>
      <c r="G34" s="108"/>
      <c r="H34" s="109"/>
      <c r="I34" s="150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3"/>
      <c r="AC34" s="93"/>
      <c r="AD34" s="161"/>
      <c r="AE34" s="93"/>
      <c r="AF34" s="93"/>
      <c r="AG34" s="93"/>
      <c r="AU34"/>
      <c r="AV34"/>
      <c r="AW34"/>
      <c r="AX34"/>
      <c r="AY34"/>
      <c r="AZ34"/>
    </row>
    <row r="35" spans="1:52" s="90" customFormat="1" ht="15" customHeight="1">
      <c r="A35" s="96"/>
      <c r="B35" s="114" t="s">
        <v>71</v>
      </c>
      <c r="C35" s="108"/>
      <c r="D35" s="108"/>
      <c r="E35" s="108"/>
      <c r="F35" s="108"/>
      <c r="G35" s="108"/>
      <c r="H35" s="109"/>
      <c r="I35" s="150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3"/>
      <c r="AC35" s="93"/>
      <c r="AD35" s="161"/>
      <c r="AE35" s="93"/>
      <c r="AF35" s="93"/>
      <c r="AG35" s="93"/>
      <c r="AU35"/>
      <c r="AV35"/>
      <c r="AW35"/>
      <c r="AX35"/>
      <c r="AY35"/>
      <c r="AZ35"/>
    </row>
    <row r="36" spans="1:52" s="90" customFormat="1" ht="15" customHeight="1">
      <c r="A36" s="96"/>
      <c r="B36" s="114" t="s">
        <v>73</v>
      </c>
      <c r="C36" s="108"/>
      <c r="D36" s="108"/>
      <c r="E36" s="108"/>
      <c r="F36" s="108"/>
      <c r="G36" s="108"/>
      <c r="H36" s="109"/>
      <c r="I36" s="150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3"/>
      <c r="AC36" s="93"/>
      <c r="AD36" s="161"/>
      <c r="AE36" s="93"/>
      <c r="AF36" s="93"/>
      <c r="AG36" s="93"/>
      <c r="AU36"/>
      <c r="AV36"/>
      <c r="AW36"/>
      <c r="AX36"/>
      <c r="AY36"/>
      <c r="AZ36"/>
    </row>
    <row r="37" spans="1:52" s="90" customFormat="1" ht="15" customHeight="1">
      <c r="A37" s="96"/>
      <c r="B37" s="115" t="s">
        <v>72</v>
      </c>
      <c r="C37" s="116"/>
      <c r="D37" s="116"/>
      <c r="E37" s="116"/>
      <c r="F37" s="116"/>
      <c r="G37" s="113"/>
      <c r="H37" s="112" t="s">
        <v>67</v>
      </c>
      <c r="I37" s="151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3"/>
      <c r="AC37" s="93"/>
      <c r="AD37" s="161"/>
      <c r="AE37" s="93"/>
      <c r="AF37" s="93"/>
      <c r="AG37" s="93"/>
      <c r="AU37"/>
      <c r="AV37"/>
      <c r="AW37"/>
      <c r="AX37"/>
      <c r="AY37"/>
      <c r="AZ37"/>
    </row>
    <row r="38" spans="1:52" s="90" customFormat="1" ht="15" customHeight="1">
      <c r="A38" s="96"/>
      <c r="B38" s="114" t="s">
        <v>74</v>
      </c>
      <c r="C38" s="108"/>
      <c r="D38" s="108"/>
      <c r="E38" s="108"/>
      <c r="F38" s="108"/>
      <c r="G38" s="108"/>
      <c r="H38" s="109"/>
      <c r="I38" s="150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3"/>
      <c r="AC38" s="93"/>
      <c r="AD38" s="161"/>
      <c r="AE38" s="93"/>
      <c r="AF38" s="93"/>
      <c r="AG38" s="93"/>
      <c r="AU38"/>
      <c r="AV38"/>
      <c r="AW38"/>
      <c r="AX38"/>
      <c r="AY38"/>
      <c r="AZ38"/>
    </row>
    <row r="39" spans="1:52" s="90" customFormat="1" ht="15" customHeight="1">
      <c r="A39" s="96"/>
      <c r="B39" s="114" t="s">
        <v>75</v>
      </c>
      <c r="C39" s="108"/>
      <c r="D39" s="108"/>
      <c r="E39" s="108"/>
      <c r="F39" s="108"/>
      <c r="G39" s="108"/>
      <c r="H39" s="109"/>
      <c r="I39" s="150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3"/>
      <c r="AC39" s="93"/>
      <c r="AD39" s="161"/>
      <c r="AE39" s="93"/>
      <c r="AF39" s="93"/>
      <c r="AG39" s="93"/>
      <c r="AU39"/>
      <c r="AV39"/>
      <c r="AW39"/>
      <c r="AX39"/>
      <c r="AY39"/>
      <c r="AZ39"/>
    </row>
    <row r="40" spans="1:52" s="90" customFormat="1" ht="15" customHeight="1">
      <c r="A40" s="96"/>
      <c r="B40" s="114" t="s">
        <v>76</v>
      </c>
      <c r="C40" s="108"/>
      <c r="D40" s="108"/>
      <c r="E40" s="108"/>
      <c r="F40" s="108"/>
      <c r="G40" s="108"/>
      <c r="H40" s="109"/>
      <c r="I40" s="152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3"/>
      <c r="AC40" s="93"/>
      <c r="AD40" s="161"/>
      <c r="AE40" s="93"/>
      <c r="AF40" s="93"/>
      <c r="AG40" s="93"/>
      <c r="AU40"/>
      <c r="AV40"/>
      <c r="AW40"/>
      <c r="AX40"/>
      <c r="AY40"/>
      <c r="AZ40"/>
    </row>
    <row r="41" spans="1:52" s="90" customFormat="1" ht="12" customHeight="1">
      <c r="A41" s="1"/>
      <c r="B41"/>
      <c r="C41"/>
      <c r="D41"/>
      <c r="E41"/>
      <c r="F41"/>
      <c r="G41"/>
      <c r="H41"/>
      <c r="I41" s="153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61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3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61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61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3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61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3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61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3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61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3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61"/>
      <c r="AU47"/>
      <c r="AV47"/>
      <c r="AW47"/>
      <c r="AX47"/>
      <c r="AY47"/>
      <c r="AZ47"/>
    </row>
    <row r="48" spans="1:52" ht="11.45" customHeight="1">
      <c r="AD48" s="161"/>
      <c r="AU48"/>
      <c r="AV48"/>
      <c r="AW48"/>
      <c r="AX48"/>
      <c r="AY48"/>
      <c r="AZ48"/>
    </row>
    <row r="49" spans="9:49" ht="11.45" customHeight="1">
      <c r="I49" s="1"/>
      <c r="M49" s="90"/>
      <c r="N49" s="90"/>
      <c r="O49" s="8"/>
      <c r="P49" s="8"/>
      <c r="Q49" s="8"/>
      <c r="AA49" s="161"/>
      <c r="AR49"/>
      <c r="AS49"/>
      <c r="AT49"/>
      <c r="AU49"/>
      <c r="AV49"/>
      <c r="AW49"/>
    </row>
    <row r="50" spans="9:49" ht="11.45" customHeight="1">
      <c r="I50" s="1"/>
      <c r="M50" s="90"/>
      <c r="N50" s="90"/>
      <c r="O50" s="8"/>
      <c r="P50" s="8"/>
      <c r="Q50" s="8"/>
      <c r="AA50" s="161"/>
      <c r="AR50"/>
      <c r="AS50"/>
      <c r="AT50"/>
      <c r="AU50"/>
      <c r="AV50"/>
      <c r="AW50"/>
    </row>
    <row r="51" spans="9:49" ht="11.45" customHeight="1">
      <c r="I51" s="1"/>
      <c r="M51" s="90"/>
      <c r="N51" s="90"/>
      <c r="O51" s="8"/>
      <c r="P51" s="8"/>
      <c r="Q51" s="8"/>
      <c r="AA51" s="161"/>
      <c r="AR51"/>
      <c r="AS51"/>
      <c r="AT51"/>
      <c r="AU51"/>
      <c r="AV51"/>
      <c r="AW51"/>
    </row>
    <row r="52" spans="9:49" ht="11.45" customHeight="1">
      <c r="I52" s="1"/>
      <c r="M52" s="90"/>
      <c r="N52" s="90"/>
      <c r="O52" s="8"/>
      <c r="P52" s="8"/>
      <c r="Q52" s="8"/>
      <c r="AA52" s="161"/>
      <c r="AR52"/>
      <c r="AS52"/>
      <c r="AT52"/>
      <c r="AU52"/>
      <c r="AV52"/>
      <c r="AW52"/>
    </row>
    <row r="53" spans="9:49" ht="11.45" customHeight="1">
      <c r="I53" s="1"/>
      <c r="M53" s="90"/>
      <c r="N53" s="90"/>
      <c r="O53" s="8"/>
      <c r="P53" s="8"/>
      <c r="Q53" s="8"/>
      <c r="AA53" s="161"/>
      <c r="AR53"/>
      <c r="AS53"/>
      <c r="AT53"/>
      <c r="AU53"/>
      <c r="AV53"/>
      <c r="AW53"/>
    </row>
    <row r="54" spans="9:49" ht="11.45" customHeight="1">
      <c r="I54" s="1"/>
      <c r="M54" s="90"/>
      <c r="N54" s="90"/>
      <c r="O54" s="8"/>
      <c r="P54" s="8"/>
      <c r="Q54" s="8"/>
      <c r="AA54" s="161"/>
      <c r="AR54"/>
      <c r="AS54"/>
      <c r="AT54"/>
      <c r="AU54"/>
      <c r="AV54"/>
      <c r="AW54"/>
    </row>
    <row r="55" spans="9:49" ht="11.45" customHeight="1">
      <c r="I55" s="1"/>
      <c r="M55" s="90"/>
      <c r="N55" s="90"/>
      <c r="O55" s="8"/>
      <c r="P55" s="8"/>
      <c r="Q55" s="8"/>
      <c r="AA55" s="161"/>
      <c r="AR55"/>
      <c r="AS55"/>
      <c r="AT55"/>
      <c r="AU55"/>
      <c r="AV55"/>
      <c r="AW55"/>
    </row>
    <row r="56" spans="9:49" ht="11.45" customHeight="1">
      <c r="I56" s="1"/>
      <c r="M56" s="90"/>
      <c r="N56" s="90"/>
      <c r="O56" s="8"/>
      <c r="P56" s="8"/>
      <c r="Q56" s="8"/>
      <c r="AA56" s="161"/>
      <c r="AR56"/>
      <c r="AS56"/>
      <c r="AT56"/>
      <c r="AU56"/>
      <c r="AV56"/>
      <c r="AW56"/>
    </row>
    <row r="57" spans="9:49" ht="11.45" customHeight="1">
      <c r="I57" s="1"/>
      <c r="M57" s="90"/>
      <c r="N57" s="90"/>
      <c r="O57" s="8"/>
      <c r="P57" s="8"/>
      <c r="Q57" s="8"/>
      <c r="AA57" s="161"/>
      <c r="AR57"/>
      <c r="AS57"/>
      <c r="AT57"/>
      <c r="AU57"/>
      <c r="AV57"/>
      <c r="AW57"/>
    </row>
    <row r="58" spans="9:49" ht="11.45" customHeight="1">
      <c r="I58" s="1"/>
      <c r="M58" s="90"/>
      <c r="N58" s="90"/>
      <c r="O58" s="8"/>
      <c r="P58" s="8"/>
      <c r="Q58" s="8"/>
      <c r="AA58" s="161"/>
      <c r="AR58"/>
      <c r="AS58"/>
      <c r="AT58"/>
      <c r="AU58"/>
      <c r="AV58"/>
      <c r="AW58"/>
    </row>
    <row r="59" spans="9:49" ht="11.45" customHeight="1">
      <c r="I59" s="1"/>
      <c r="M59" s="90"/>
      <c r="N59" s="90"/>
      <c r="O59" s="8"/>
      <c r="P59" s="8"/>
      <c r="Q59" s="8"/>
      <c r="AA59" s="161"/>
      <c r="AR59"/>
      <c r="AS59"/>
      <c r="AT59"/>
      <c r="AU59"/>
      <c r="AV59"/>
      <c r="AW59"/>
    </row>
    <row r="60" spans="9:49" ht="11.45" customHeight="1">
      <c r="I60" s="1"/>
      <c r="M60" s="90"/>
      <c r="N60" s="90"/>
      <c r="O60" s="8"/>
      <c r="P60" s="8"/>
      <c r="Q60" s="8"/>
      <c r="AA60" s="161"/>
      <c r="AR60"/>
      <c r="AS60"/>
      <c r="AT60"/>
      <c r="AU60"/>
      <c r="AV60"/>
      <c r="AW60"/>
    </row>
    <row r="61" spans="9:49" ht="11.45" customHeight="1">
      <c r="I61" s="1"/>
      <c r="M61" s="90"/>
      <c r="N61" s="90"/>
      <c r="O61" s="8"/>
      <c r="P61" s="8"/>
      <c r="Q61" s="8"/>
      <c r="AA61" s="161"/>
      <c r="AR61"/>
      <c r="AS61"/>
      <c r="AT61"/>
      <c r="AU61"/>
      <c r="AV61"/>
      <c r="AW61"/>
    </row>
    <row r="62" spans="9:49" ht="11.45" customHeight="1">
      <c r="I62" s="1"/>
      <c r="M62" s="90"/>
      <c r="N62" s="90"/>
      <c r="O62" s="8"/>
      <c r="P62" s="8"/>
      <c r="Q62" s="8"/>
      <c r="AA62" s="161"/>
      <c r="AR62"/>
      <c r="AS62"/>
      <c r="AT62"/>
      <c r="AU62"/>
      <c r="AV62"/>
      <c r="AW62"/>
    </row>
    <row r="63" spans="9:49" ht="11.45" customHeight="1">
      <c r="I63" s="1"/>
      <c r="M63" s="90"/>
      <c r="N63" s="90"/>
      <c r="O63" s="8"/>
      <c r="P63" s="8"/>
      <c r="Q63" s="8"/>
      <c r="AA63" s="161"/>
      <c r="AR63"/>
      <c r="AS63"/>
      <c r="AT63"/>
      <c r="AU63"/>
      <c r="AV63"/>
      <c r="AW63"/>
    </row>
    <row r="64" spans="9:49" ht="11.45" customHeight="1">
      <c r="I64" s="1"/>
      <c r="M64" s="90"/>
      <c r="N64" s="90"/>
      <c r="O64" s="8"/>
      <c r="P64" s="8"/>
      <c r="Q64" s="8"/>
      <c r="AA64" s="161"/>
      <c r="AR64"/>
      <c r="AS64"/>
      <c r="AT64"/>
      <c r="AU64"/>
      <c r="AV64"/>
      <c r="AW64"/>
    </row>
    <row r="65" spans="9:52" ht="11.45" customHeight="1">
      <c r="I65" s="1"/>
      <c r="M65" s="90"/>
      <c r="N65" s="90"/>
      <c r="O65" s="8"/>
      <c r="P65" s="8"/>
      <c r="Q65" s="8"/>
      <c r="AA65" s="161"/>
      <c r="AR65"/>
      <c r="AS65"/>
      <c r="AT65"/>
      <c r="AU65"/>
      <c r="AV65"/>
      <c r="AW65"/>
    </row>
    <row r="66" spans="9:52" ht="11.45" customHeight="1">
      <c r="I66" s="1"/>
      <c r="M66" s="90"/>
      <c r="N66" s="90"/>
      <c r="O66" s="8"/>
      <c r="P66" s="8"/>
      <c r="Q66" s="8"/>
      <c r="AA66" s="161"/>
      <c r="AR66"/>
      <c r="AS66"/>
      <c r="AT66"/>
      <c r="AU66"/>
      <c r="AV66"/>
      <c r="AW66"/>
    </row>
    <row r="67" spans="9:52" ht="11.45" customHeight="1">
      <c r="AD67" s="161"/>
      <c r="AU67"/>
      <c r="AV67"/>
      <c r="AW67"/>
      <c r="AX67"/>
      <c r="AY67"/>
      <c r="AZ67"/>
    </row>
    <row r="68" spans="9:52" ht="11.45" customHeight="1">
      <c r="AD68" s="161"/>
      <c r="AU68"/>
      <c r="AV68"/>
      <c r="AW68"/>
      <c r="AX68"/>
      <c r="AY68"/>
      <c r="AZ68"/>
    </row>
    <row r="69" spans="9:52" ht="11.45" customHeight="1">
      <c r="AD69" s="161"/>
      <c r="AU69"/>
      <c r="AV69"/>
      <c r="AW69"/>
      <c r="AX69"/>
      <c r="AY69"/>
      <c r="AZ69"/>
    </row>
    <row r="70" spans="9:52" ht="11.45" customHeight="1">
      <c r="AD70" s="161"/>
      <c r="AU70"/>
      <c r="AV70"/>
      <c r="AW70"/>
      <c r="AX70"/>
      <c r="AY70"/>
      <c r="AZ70"/>
    </row>
    <row r="71" spans="9:52" ht="11.45" customHeight="1">
      <c r="AD71" s="161"/>
      <c r="AU71"/>
      <c r="AV71"/>
      <c r="AW71"/>
      <c r="AX71"/>
      <c r="AY71"/>
      <c r="AZ71"/>
    </row>
    <row r="72" spans="9:52" ht="11.45" customHeight="1">
      <c r="AD72" s="161"/>
      <c r="AU72"/>
      <c r="AV72"/>
      <c r="AW72"/>
      <c r="AX72"/>
      <c r="AY72"/>
      <c r="AZ72"/>
    </row>
    <row r="73" spans="9:52" ht="11.45" customHeight="1">
      <c r="AD73" s="161"/>
      <c r="AU73"/>
      <c r="AV73"/>
      <c r="AW73"/>
      <c r="AX73"/>
      <c r="AY73"/>
      <c r="AZ73"/>
    </row>
    <row r="74" spans="9:52" ht="11.45" customHeight="1">
      <c r="AD74" s="161"/>
      <c r="AU74"/>
      <c r="AV74"/>
      <c r="AW74"/>
      <c r="AX74"/>
      <c r="AY74"/>
      <c r="AZ74"/>
    </row>
    <row r="75" spans="9:52" ht="11.45" customHeight="1">
      <c r="AD75" s="161"/>
      <c r="AU75"/>
      <c r="AV75"/>
      <c r="AW75"/>
      <c r="AX75"/>
      <c r="AY75"/>
      <c r="AZ75"/>
    </row>
    <row r="76" spans="9:52" ht="11.45" customHeight="1">
      <c r="AD76" s="161"/>
      <c r="AU76"/>
      <c r="AV76"/>
      <c r="AW76"/>
      <c r="AX76"/>
      <c r="AY76"/>
      <c r="AZ76"/>
    </row>
    <row r="77" spans="9:52" ht="11.45" customHeight="1">
      <c r="AD77" s="161"/>
      <c r="AU77"/>
      <c r="AV77"/>
      <c r="AW77"/>
      <c r="AX77"/>
      <c r="AY77"/>
      <c r="AZ77"/>
    </row>
    <row r="78" spans="9:52" ht="11.45" customHeight="1">
      <c r="AD78" s="161"/>
      <c r="AU78"/>
      <c r="AV78"/>
      <c r="AW78"/>
      <c r="AX78"/>
      <c r="AY78"/>
      <c r="AZ78"/>
    </row>
    <row r="79" spans="9:52" ht="11.45" customHeight="1">
      <c r="AD79" s="161"/>
      <c r="AU79"/>
      <c r="AV79"/>
      <c r="AW79"/>
      <c r="AX79"/>
      <c r="AY79"/>
      <c r="AZ79"/>
    </row>
    <row r="80" spans="9:52" ht="11.45" customHeight="1">
      <c r="AD80" s="161"/>
      <c r="AU80"/>
      <c r="AV80"/>
      <c r="AW80"/>
      <c r="AX80"/>
      <c r="AY80"/>
      <c r="AZ80"/>
    </row>
    <row r="81" spans="30:52" ht="11.45" customHeight="1">
      <c r="AD81" s="161"/>
      <c r="AU81"/>
      <c r="AV81"/>
      <c r="AW81"/>
      <c r="AX81"/>
      <c r="AY81"/>
      <c r="AZ81"/>
    </row>
    <row r="82" spans="30:52" ht="11.45" customHeight="1">
      <c r="AD82" s="161"/>
      <c r="AU82"/>
      <c r="AV82"/>
      <c r="AW82"/>
      <c r="AX82"/>
      <c r="AY82"/>
      <c r="AZ82"/>
    </row>
    <row r="83" spans="30:52" ht="11.45" customHeight="1">
      <c r="AD83" s="161"/>
      <c r="AU83"/>
      <c r="AV83"/>
      <c r="AW83"/>
      <c r="AX83"/>
      <c r="AY83"/>
      <c r="AZ83"/>
    </row>
    <row r="84" spans="30:52" ht="11.45" customHeight="1">
      <c r="AD84" s="161"/>
      <c r="AU84"/>
      <c r="AV84"/>
      <c r="AW84"/>
      <c r="AX84"/>
      <c r="AY84"/>
      <c r="AZ84"/>
    </row>
    <row r="85" spans="30:52" ht="11.45" customHeight="1">
      <c r="AD85" s="161"/>
      <c r="AU85"/>
      <c r="AV85"/>
      <c r="AW85"/>
      <c r="AX85"/>
      <c r="AY85"/>
      <c r="AZ85"/>
    </row>
    <row r="86" spans="30:52" ht="11.45" customHeight="1">
      <c r="AD86" s="161"/>
      <c r="AU86"/>
      <c r="AV86"/>
      <c r="AW86"/>
      <c r="AX86"/>
      <c r="AY86"/>
      <c r="AZ86"/>
    </row>
    <row r="87" spans="30:52" ht="11.45" customHeight="1">
      <c r="AD87" s="161"/>
      <c r="AU87"/>
      <c r="AV87"/>
      <c r="AW87"/>
      <c r="AX87"/>
      <c r="AY87"/>
      <c r="AZ87"/>
    </row>
    <row r="88" spans="30:52" ht="11.45" customHeight="1">
      <c r="AD88" s="161"/>
      <c r="AU88"/>
      <c r="AV88"/>
      <c r="AW88"/>
      <c r="AX88"/>
      <c r="AY88"/>
      <c r="AZ88"/>
    </row>
    <row r="89" spans="30:52" ht="11.45" customHeight="1">
      <c r="AD89" s="161"/>
      <c r="AU89"/>
      <c r="AV89"/>
      <c r="AW89"/>
      <c r="AX89"/>
      <c r="AY89"/>
      <c r="AZ89"/>
    </row>
    <row r="90" spans="30:52" ht="11.45" customHeight="1">
      <c r="AD90" s="161"/>
      <c r="AU90"/>
      <c r="AV90"/>
      <c r="AW90"/>
      <c r="AX90"/>
      <c r="AY90"/>
      <c r="AZ90"/>
    </row>
    <row r="91" spans="30:52" ht="11.45" customHeight="1">
      <c r="AD91" s="161"/>
      <c r="AU91"/>
      <c r="AV91"/>
      <c r="AW91"/>
      <c r="AX91"/>
      <c r="AY91"/>
      <c r="AZ91"/>
    </row>
    <row r="92" spans="30:52" ht="11.45" customHeight="1">
      <c r="AD92" s="161"/>
      <c r="AU92"/>
      <c r="AV92"/>
      <c r="AW92"/>
      <c r="AX92"/>
      <c r="AY92"/>
      <c r="AZ92"/>
    </row>
    <row r="93" spans="30:52" ht="11.45" customHeight="1">
      <c r="AD93" s="161"/>
      <c r="AU93"/>
      <c r="AV93"/>
      <c r="AW93"/>
      <c r="AX93"/>
      <c r="AY93"/>
      <c r="AZ93"/>
    </row>
    <row r="94" spans="30:52" ht="11.45" customHeight="1">
      <c r="AD94" s="161"/>
      <c r="AU94"/>
      <c r="AV94"/>
      <c r="AW94"/>
      <c r="AX94"/>
      <c r="AY94"/>
      <c r="AZ94"/>
    </row>
    <row r="95" spans="30:52" ht="11.45" customHeight="1">
      <c r="AD95" s="161"/>
      <c r="AU95"/>
      <c r="AV95"/>
      <c r="AW95"/>
      <c r="AX95"/>
      <c r="AY95"/>
      <c r="AZ95"/>
    </row>
    <row r="96" spans="30:52" ht="11.45" customHeight="1">
      <c r="AD96" s="161"/>
      <c r="AU96"/>
      <c r="AV96"/>
      <c r="AW96"/>
      <c r="AX96"/>
      <c r="AY96"/>
      <c r="AZ96"/>
    </row>
    <row r="97" spans="30:52" ht="11.45" customHeight="1">
      <c r="AD97" s="161"/>
      <c r="AU97"/>
      <c r="AV97"/>
      <c r="AW97"/>
      <c r="AX97"/>
      <c r="AY97"/>
      <c r="AZ97"/>
    </row>
    <row r="98" spans="30:52" ht="11.45" customHeight="1">
      <c r="AD98" s="161"/>
      <c r="AU98"/>
      <c r="AV98"/>
      <c r="AW98"/>
      <c r="AX98"/>
      <c r="AY98"/>
      <c r="AZ98"/>
    </row>
    <row r="99" spans="30:52" ht="11.45" customHeight="1">
      <c r="AD99" s="161"/>
      <c r="AU99"/>
      <c r="AV99"/>
      <c r="AW99"/>
      <c r="AX99"/>
      <c r="AY99"/>
      <c r="AZ99"/>
    </row>
    <row r="100" spans="30:52" ht="11.45" customHeight="1">
      <c r="AD100" s="161"/>
      <c r="AU100"/>
      <c r="AV100"/>
      <c r="AW100"/>
      <c r="AX100"/>
      <c r="AY100"/>
      <c r="AZ100"/>
    </row>
    <row r="101" spans="30:52" ht="11.45" customHeight="1">
      <c r="AD101" s="161"/>
      <c r="AU101"/>
      <c r="AV101"/>
      <c r="AW101"/>
      <c r="AX101"/>
      <c r="AY101"/>
      <c r="AZ101"/>
    </row>
    <row r="102" spans="30:52" ht="11.45" customHeight="1">
      <c r="AD102" s="161"/>
      <c r="AU102"/>
      <c r="AV102"/>
      <c r="AW102"/>
      <c r="AX102"/>
      <c r="AY102"/>
      <c r="AZ102"/>
    </row>
    <row r="103" spans="30:52" ht="11.45" customHeight="1">
      <c r="AD103" s="161"/>
      <c r="AU103"/>
      <c r="AV103"/>
      <c r="AW103"/>
      <c r="AX103"/>
      <c r="AY103"/>
      <c r="AZ103"/>
    </row>
    <row r="104" spans="30:52" ht="11.45" customHeight="1">
      <c r="AD104" s="161"/>
      <c r="AU104"/>
      <c r="AV104"/>
      <c r="AW104"/>
      <c r="AX104"/>
      <c r="AY104"/>
      <c r="AZ104"/>
    </row>
    <row r="105" spans="30:52" ht="11.45" customHeight="1">
      <c r="AD105" s="161"/>
      <c r="AU105"/>
      <c r="AV105"/>
      <c r="AW105"/>
      <c r="AX105"/>
      <c r="AY105"/>
      <c r="AZ105"/>
    </row>
    <row r="106" spans="30:52" ht="11.45" customHeight="1">
      <c r="AD106" s="161"/>
      <c r="AU106"/>
      <c r="AV106"/>
      <c r="AW106"/>
      <c r="AX106"/>
      <c r="AY106"/>
      <c r="AZ106"/>
    </row>
    <row r="107" spans="30:52" ht="11.45" customHeight="1">
      <c r="AD107" s="161"/>
      <c r="AU107"/>
      <c r="AV107"/>
      <c r="AW107"/>
      <c r="AX107"/>
      <c r="AY107"/>
      <c r="AZ107"/>
    </row>
    <row r="108" spans="30:52" ht="11.45" customHeight="1">
      <c r="AD108" s="161"/>
      <c r="AU108"/>
      <c r="AV108"/>
      <c r="AW108"/>
      <c r="AX108"/>
      <c r="AY108"/>
      <c r="AZ108"/>
    </row>
    <row r="109" spans="30:52" ht="11.45" customHeight="1">
      <c r="AD109" s="161"/>
      <c r="AU109"/>
      <c r="AV109"/>
      <c r="AW109"/>
      <c r="AX109"/>
      <c r="AY109"/>
      <c r="AZ109"/>
    </row>
    <row r="110" spans="30:52" ht="11.45" customHeight="1">
      <c r="AD110" s="161"/>
      <c r="AU110"/>
      <c r="AV110"/>
      <c r="AW110"/>
      <c r="AX110"/>
      <c r="AY110"/>
      <c r="AZ110"/>
    </row>
    <row r="111" spans="30:52" ht="11.45" customHeight="1">
      <c r="AD111" s="161"/>
      <c r="AU111"/>
      <c r="AV111"/>
      <c r="AW111"/>
      <c r="AX111"/>
      <c r="AY111"/>
      <c r="AZ111"/>
    </row>
    <row r="112" spans="30:52" ht="11.45" customHeight="1">
      <c r="AD112" s="161"/>
      <c r="AU112"/>
      <c r="AV112"/>
      <c r="AW112"/>
      <c r="AX112"/>
      <c r="AY112"/>
      <c r="AZ112"/>
    </row>
    <row r="113" spans="30:52" ht="11.45" customHeight="1">
      <c r="AD113" s="161"/>
      <c r="AU113"/>
      <c r="AV113"/>
      <c r="AW113"/>
      <c r="AX113"/>
      <c r="AY113"/>
      <c r="AZ113"/>
    </row>
    <row r="114" spans="30:52" ht="11.45" customHeight="1">
      <c r="AD114" s="161"/>
      <c r="AU114"/>
      <c r="AV114"/>
      <c r="AW114"/>
      <c r="AX114"/>
      <c r="AY114"/>
      <c r="AZ114"/>
    </row>
    <row r="115" spans="30:52" ht="11.45" customHeight="1">
      <c r="AD115" s="161"/>
      <c r="AU115"/>
      <c r="AV115"/>
      <c r="AW115"/>
      <c r="AX115"/>
      <c r="AY115"/>
      <c r="AZ115"/>
    </row>
    <row r="116" spans="30:52" ht="11.45" customHeight="1">
      <c r="AD116" s="161"/>
      <c r="AU116"/>
      <c r="AV116"/>
      <c r="AW116"/>
      <c r="AX116"/>
      <c r="AY116"/>
      <c r="AZ116"/>
    </row>
    <row r="117" spans="30:52" ht="11.45" customHeight="1">
      <c r="AD117" s="161"/>
      <c r="AU117"/>
      <c r="AV117"/>
      <c r="AW117"/>
      <c r="AX117"/>
      <c r="AY117"/>
      <c r="AZ117"/>
    </row>
    <row r="118" spans="30:52" ht="11.45" customHeight="1">
      <c r="AD118" s="161"/>
      <c r="AU118"/>
      <c r="AV118"/>
      <c r="AW118"/>
      <c r="AX118"/>
      <c r="AY118"/>
      <c r="AZ118"/>
    </row>
    <row r="119" spans="30:52" ht="11.45" customHeight="1">
      <c r="AD119" s="161"/>
      <c r="AU119"/>
      <c r="AV119"/>
      <c r="AW119"/>
      <c r="AX119"/>
      <c r="AY119"/>
      <c r="AZ119"/>
    </row>
    <row r="120" spans="30:52" ht="11.45" customHeight="1">
      <c r="AD120" s="161"/>
      <c r="AU120"/>
      <c r="AV120"/>
      <c r="AW120"/>
      <c r="AX120"/>
      <c r="AY120"/>
      <c r="AZ120"/>
    </row>
    <row r="121" spans="30:52" ht="11.45" customHeight="1">
      <c r="AD121" s="161"/>
      <c r="AU121"/>
      <c r="AV121"/>
      <c r="AW121"/>
      <c r="AX121"/>
      <c r="AY121"/>
      <c r="AZ121"/>
    </row>
    <row r="122" spans="30:52" ht="11.45" customHeight="1">
      <c r="AD122" s="161"/>
      <c r="AU122"/>
      <c r="AV122"/>
      <c r="AW122"/>
      <c r="AX122"/>
      <c r="AY122"/>
      <c r="AZ122"/>
    </row>
    <row r="123" spans="30:52" ht="11.45" customHeight="1">
      <c r="AD123" s="161"/>
      <c r="AU123"/>
      <c r="AV123"/>
      <c r="AW123"/>
      <c r="AX123"/>
      <c r="AY123"/>
      <c r="AZ123"/>
    </row>
    <row r="124" spans="30:52" ht="11.45" customHeight="1">
      <c r="AD124" s="161"/>
      <c r="AU124"/>
      <c r="AV124"/>
      <c r="AW124"/>
      <c r="AX124"/>
      <c r="AY124"/>
      <c r="AZ124"/>
    </row>
    <row r="125" spans="30:52" ht="11.45" customHeight="1">
      <c r="AD125" s="161"/>
      <c r="AU125"/>
      <c r="AV125"/>
      <c r="AW125"/>
      <c r="AX125"/>
      <c r="AY125"/>
      <c r="AZ125"/>
    </row>
    <row r="126" spans="30:52" ht="11.45" customHeight="1">
      <c r="AD126" s="161"/>
      <c r="AU126"/>
      <c r="AV126"/>
      <c r="AW126"/>
      <c r="AX126"/>
      <c r="AY126"/>
      <c r="AZ126"/>
    </row>
    <row r="127" spans="30:52" ht="11.45" customHeight="1">
      <c r="AD127" s="161"/>
      <c r="AU127"/>
      <c r="AV127"/>
      <c r="AW127"/>
      <c r="AX127"/>
      <c r="AY127"/>
      <c r="AZ127"/>
    </row>
    <row r="128" spans="30:52" ht="11.45" customHeight="1">
      <c r="AD128" s="161"/>
      <c r="AU128"/>
      <c r="AV128"/>
      <c r="AW128"/>
      <c r="AX128"/>
      <c r="AY128"/>
      <c r="AZ128"/>
    </row>
    <row r="129" spans="30:52" ht="11.45" customHeight="1">
      <c r="AD129" s="161"/>
      <c r="AU129"/>
      <c r="AV129"/>
      <c r="AW129"/>
      <c r="AX129"/>
      <c r="AY129"/>
      <c r="AZ129"/>
    </row>
    <row r="130" spans="30:52" ht="11.45" customHeight="1">
      <c r="AD130" s="161"/>
      <c r="AU130"/>
      <c r="AV130"/>
      <c r="AW130"/>
      <c r="AX130"/>
      <c r="AY130"/>
      <c r="AZ130"/>
    </row>
    <row r="131" spans="30:52" ht="11.45" customHeight="1">
      <c r="AD131" s="161"/>
      <c r="AU131"/>
      <c r="AV131"/>
      <c r="AW131"/>
      <c r="AX131"/>
      <c r="AY131"/>
      <c r="AZ131"/>
    </row>
    <row r="132" spans="30:52" ht="11.45" customHeight="1">
      <c r="AD132" s="161"/>
      <c r="AU132"/>
      <c r="AV132"/>
      <c r="AW132"/>
      <c r="AX132"/>
      <c r="AY132"/>
      <c r="AZ132"/>
    </row>
    <row r="133" spans="30:52" ht="11.45" customHeight="1">
      <c r="AD133" s="161"/>
      <c r="AU133"/>
      <c r="AV133"/>
      <c r="AW133"/>
      <c r="AX133"/>
      <c r="AY133"/>
      <c r="AZ133"/>
    </row>
    <row r="134" spans="30:52" ht="11.45" customHeight="1">
      <c r="AD134" s="161"/>
      <c r="AU134"/>
      <c r="AV134"/>
      <c r="AW134"/>
      <c r="AX134"/>
      <c r="AY134"/>
      <c r="AZ134"/>
    </row>
    <row r="135" spans="30:52" ht="11.45" customHeight="1">
      <c r="AD135" s="161"/>
      <c r="AU135"/>
      <c r="AV135"/>
      <c r="AW135"/>
      <c r="AX135"/>
      <c r="AY135"/>
      <c r="AZ135"/>
    </row>
    <row r="136" spans="30:52" ht="11.45" customHeight="1">
      <c r="AD136" s="161"/>
      <c r="AU136"/>
      <c r="AV136"/>
      <c r="AW136"/>
      <c r="AX136"/>
      <c r="AY136"/>
      <c r="AZ136"/>
    </row>
    <row r="137" spans="30:52" ht="11.45" customHeight="1">
      <c r="AD137" s="161"/>
      <c r="AU137"/>
      <c r="AV137"/>
      <c r="AW137"/>
      <c r="AX137"/>
      <c r="AY137"/>
      <c r="AZ137"/>
    </row>
    <row r="138" spans="30:52" ht="11.45" customHeight="1">
      <c r="AD138" s="161"/>
      <c r="AU138"/>
      <c r="AV138"/>
      <c r="AW138"/>
      <c r="AX138"/>
      <c r="AY138"/>
      <c r="AZ138"/>
    </row>
    <row r="139" spans="30:52" ht="11.45" customHeight="1">
      <c r="AD139" s="161"/>
      <c r="AU139"/>
      <c r="AV139"/>
      <c r="AW139"/>
      <c r="AX139"/>
      <c r="AY139"/>
      <c r="AZ139"/>
    </row>
    <row r="140" spans="30:52" ht="11.45" customHeight="1">
      <c r="AD140" s="161"/>
      <c r="AU140"/>
      <c r="AV140"/>
      <c r="AW140"/>
      <c r="AX140"/>
      <c r="AY140"/>
      <c r="AZ140"/>
    </row>
    <row r="141" spans="30:52" ht="11.45" customHeight="1">
      <c r="AD141" s="161"/>
      <c r="AU141"/>
      <c r="AV141"/>
      <c r="AW141"/>
      <c r="AX141"/>
      <c r="AY141"/>
      <c r="AZ141"/>
    </row>
    <row r="142" spans="30:52" ht="11.45" customHeight="1">
      <c r="AD142" s="161"/>
      <c r="AU142"/>
      <c r="AV142"/>
      <c r="AW142"/>
      <c r="AX142"/>
      <c r="AY142"/>
      <c r="AZ142"/>
    </row>
    <row r="143" spans="30:52" ht="11.45" customHeight="1">
      <c r="AD143" s="161"/>
      <c r="AU143"/>
      <c r="AV143"/>
      <c r="AW143"/>
      <c r="AX143"/>
      <c r="AY143"/>
      <c r="AZ143"/>
    </row>
    <row r="144" spans="30:52" ht="11.45" customHeight="1">
      <c r="AD144" s="161"/>
      <c r="AU144"/>
      <c r="AV144"/>
      <c r="AW144"/>
      <c r="AX144"/>
      <c r="AY144"/>
      <c r="AZ144"/>
    </row>
    <row r="145" spans="30:52" ht="11.45" customHeight="1">
      <c r="AD145" s="161"/>
      <c r="AU145"/>
      <c r="AV145"/>
      <c r="AW145"/>
      <c r="AX145"/>
      <c r="AY145"/>
      <c r="AZ145"/>
    </row>
    <row r="146" spans="30:52" ht="11.45" customHeight="1">
      <c r="AD146" s="161"/>
      <c r="AU146"/>
      <c r="AV146"/>
      <c r="AW146"/>
      <c r="AX146"/>
      <c r="AY146"/>
      <c r="AZ146"/>
    </row>
    <row r="147" spans="30:52" ht="11.45" customHeight="1">
      <c r="AD147" s="161"/>
      <c r="AU147"/>
      <c r="AV147"/>
      <c r="AW147"/>
      <c r="AX147"/>
      <c r="AY147"/>
      <c r="AZ147"/>
    </row>
    <row r="148" spans="30:52" ht="11.45" customHeight="1">
      <c r="AD148" s="161"/>
      <c r="AU148"/>
      <c r="AV148"/>
      <c r="AW148"/>
      <c r="AX148"/>
      <c r="AY148"/>
      <c r="AZ148"/>
    </row>
    <row r="149" spans="30:52" ht="11.45" customHeight="1">
      <c r="AD149" s="161"/>
      <c r="AU149"/>
      <c r="AV149"/>
      <c r="AW149"/>
      <c r="AX149"/>
      <c r="AY149"/>
      <c r="AZ149"/>
    </row>
    <row r="150" spans="30:52" ht="11.45" customHeight="1">
      <c r="AD150" s="161"/>
      <c r="AU150"/>
      <c r="AV150"/>
      <c r="AW150"/>
      <c r="AX150"/>
      <c r="AY150"/>
      <c r="AZ150"/>
    </row>
    <row r="151" spans="30:52" ht="11.45" customHeight="1">
      <c r="AD151" s="161"/>
      <c r="AU151"/>
      <c r="AV151"/>
      <c r="AW151"/>
      <c r="AX151"/>
      <c r="AY151"/>
      <c r="AZ151"/>
    </row>
    <row r="152" spans="30:52" ht="11.45" customHeight="1">
      <c r="AD152" s="161"/>
      <c r="AU152"/>
      <c r="AV152"/>
      <c r="AW152"/>
      <c r="AX152"/>
      <c r="AY152"/>
      <c r="AZ152"/>
    </row>
    <row r="153" spans="30:52" ht="11.45" customHeight="1">
      <c r="AD153" s="161"/>
      <c r="AU153"/>
      <c r="AV153"/>
      <c r="AW153"/>
      <c r="AX153"/>
      <c r="AY153"/>
      <c r="AZ153"/>
    </row>
    <row r="154" spans="30:52" ht="11.45" customHeight="1">
      <c r="AD154" s="161"/>
      <c r="AU154"/>
      <c r="AV154"/>
      <c r="AW154"/>
      <c r="AX154"/>
      <c r="AY154"/>
      <c r="AZ154"/>
    </row>
    <row r="155" spans="30:52" ht="11.45" customHeight="1">
      <c r="AD155" s="161"/>
      <c r="AU155"/>
      <c r="AV155"/>
      <c r="AW155"/>
      <c r="AX155"/>
      <c r="AY155"/>
      <c r="AZ155"/>
    </row>
    <row r="156" spans="30:52" ht="11.45" customHeight="1">
      <c r="AD156" s="161"/>
      <c r="AU156"/>
      <c r="AV156"/>
      <c r="AW156"/>
      <c r="AX156"/>
      <c r="AY156"/>
      <c r="AZ156"/>
    </row>
    <row r="157" spans="30:52" ht="11.45" customHeight="1">
      <c r="AD157" s="161"/>
      <c r="AU157"/>
      <c r="AV157"/>
      <c r="AW157"/>
      <c r="AX157"/>
      <c r="AY157"/>
      <c r="AZ157"/>
    </row>
    <row r="158" spans="30:52" ht="11.45" customHeight="1">
      <c r="AD158" s="161"/>
      <c r="AU158"/>
      <c r="AV158"/>
      <c r="AW158"/>
      <c r="AX158"/>
      <c r="AY158"/>
      <c r="AZ158"/>
    </row>
    <row r="159" spans="30:52" ht="11.45" customHeight="1">
      <c r="AD159" s="161"/>
      <c r="AU159"/>
      <c r="AV159"/>
      <c r="AW159"/>
      <c r="AX159"/>
      <c r="AY159"/>
      <c r="AZ159"/>
    </row>
    <row r="160" spans="30:52" ht="11.45" customHeight="1">
      <c r="AD160" s="161"/>
      <c r="AU160"/>
      <c r="AV160"/>
      <c r="AW160"/>
      <c r="AX160"/>
      <c r="AY160"/>
      <c r="AZ160"/>
    </row>
    <row r="161" spans="30:52" ht="11.45" customHeight="1">
      <c r="AD161" s="161"/>
      <c r="AU161"/>
      <c r="AV161"/>
      <c r="AW161"/>
      <c r="AX161"/>
      <c r="AY161"/>
      <c r="AZ161"/>
    </row>
    <row r="162" spans="30:52" ht="11.45" customHeight="1">
      <c r="AD162" s="161"/>
      <c r="AU162"/>
      <c r="AV162"/>
      <c r="AW162"/>
      <c r="AX162"/>
      <c r="AY162"/>
      <c r="AZ162"/>
    </row>
    <row r="163" spans="30:52" ht="11.45" customHeight="1">
      <c r="AD163" s="161"/>
      <c r="AU163"/>
      <c r="AV163"/>
      <c r="AW163"/>
      <c r="AX163"/>
      <c r="AY163"/>
      <c r="AZ163"/>
    </row>
    <row r="164" spans="30:52" ht="11.45" customHeight="1">
      <c r="AD164" s="161"/>
      <c r="AU164"/>
      <c r="AV164"/>
      <c r="AW164"/>
      <c r="AX164"/>
      <c r="AY164"/>
      <c r="AZ164"/>
    </row>
    <row r="165" spans="30:52" ht="11.45" customHeight="1">
      <c r="AD165" s="161"/>
      <c r="AU165"/>
      <c r="AV165"/>
      <c r="AW165"/>
      <c r="AX165"/>
      <c r="AY165"/>
      <c r="AZ165"/>
    </row>
    <row r="166" spans="30:52" ht="11.45" customHeight="1">
      <c r="AD166" s="161"/>
      <c r="AU166"/>
      <c r="AV166"/>
      <c r="AW166"/>
      <c r="AX166"/>
      <c r="AY166"/>
      <c r="AZ166"/>
    </row>
    <row r="167" spans="30:52" ht="11.45" customHeight="1">
      <c r="AD167" s="161"/>
      <c r="AU167"/>
      <c r="AV167"/>
      <c r="AW167"/>
      <c r="AX167"/>
      <c r="AY167"/>
      <c r="AZ167"/>
    </row>
    <row r="168" spans="30:52" ht="11.45" customHeight="1">
      <c r="AD168" s="161"/>
      <c r="AU168"/>
      <c r="AV168"/>
      <c r="AW168"/>
      <c r="AX168"/>
      <c r="AY168"/>
      <c r="AZ168"/>
    </row>
    <row r="169" spans="30:52" ht="11.45" customHeight="1">
      <c r="AD169" s="161"/>
      <c r="AU169"/>
      <c r="AV169"/>
      <c r="AW169"/>
      <c r="AX169"/>
      <c r="AY169"/>
      <c r="AZ169"/>
    </row>
    <row r="170" spans="30:52" ht="11.45" customHeight="1">
      <c r="AD170" s="161"/>
      <c r="AU170"/>
      <c r="AV170"/>
      <c r="AW170"/>
      <c r="AX170"/>
      <c r="AY170"/>
      <c r="AZ170"/>
    </row>
    <row r="171" spans="30:52" ht="11.45" customHeight="1">
      <c r="AD171" s="161"/>
      <c r="AU171"/>
      <c r="AV171"/>
      <c r="AW171"/>
      <c r="AX171"/>
      <c r="AY171"/>
      <c r="AZ171"/>
    </row>
    <row r="172" spans="30:52" ht="11.45" customHeight="1">
      <c r="AD172" s="161"/>
      <c r="AU172"/>
      <c r="AV172"/>
      <c r="AW172"/>
      <c r="AX172"/>
      <c r="AY172"/>
      <c r="AZ172"/>
    </row>
    <row r="173" spans="30:52" ht="11.45" customHeight="1">
      <c r="AD173" s="161"/>
      <c r="AU173"/>
      <c r="AV173"/>
      <c r="AW173"/>
      <c r="AX173"/>
      <c r="AY173"/>
      <c r="AZ173"/>
    </row>
    <row r="174" spans="30:52" ht="11.45" customHeight="1">
      <c r="AD174" s="161"/>
      <c r="AU174"/>
      <c r="AV174"/>
      <c r="AW174"/>
      <c r="AX174"/>
      <c r="AY174"/>
      <c r="AZ174"/>
    </row>
    <row r="175" spans="30:52" ht="11.45" customHeight="1">
      <c r="AD175" s="161"/>
      <c r="AU175"/>
      <c r="AV175"/>
      <c r="AW175"/>
      <c r="AX175"/>
      <c r="AY175"/>
      <c r="AZ175"/>
    </row>
    <row r="176" spans="30:52" ht="11.45" customHeight="1">
      <c r="AD176" s="161"/>
      <c r="AU176"/>
      <c r="AV176"/>
      <c r="AW176"/>
      <c r="AX176"/>
      <c r="AY176"/>
      <c r="AZ176"/>
    </row>
    <row r="177" spans="30:52" ht="11.45" customHeight="1">
      <c r="AD177" s="161"/>
      <c r="AU177"/>
      <c r="AV177"/>
      <c r="AW177"/>
      <c r="AX177"/>
      <c r="AY177"/>
      <c r="AZ177"/>
    </row>
    <row r="178" spans="30:52" ht="11.45" customHeight="1">
      <c r="AD178" s="161"/>
      <c r="AU178"/>
      <c r="AV178"/>
      <c r="AW178"/>
      <c r="AX178"/>
      <c r="AY178"/>
      <c r="AZ178"/>
    </row>
    <row r="179" spans="30:52" ht="11.45" customHeight="1">
      <c r="AD179" s="161"/>
      <c r="AU179"/>
      <c r="AV179"/>
      <c r="AW179"/>
      <c r="AX179"/>
      <c r="AY179"/>
      <c r="AZ179"/>
    </row>
    <row r="180" spans="30:52" ht="11.45" customHeight="1">
      <c r="AD180" s="161"/>
      <c r="AU180"/>
      <c r="AV180"/>
      <c r="AW180"/>
      <c r="AX180"/>
      <c r="AY180"/>
      <c r="AZ180"/>
    </row>
    <row r="181" spans="30:52" ht="11.45" customHeight="1">
      <c r="AD181" s="161"/>
      <c r="AU181"/>
      <c r="AV181"/>
      <c r="AW181"/>
      <c r="AX181"/>
      <c r="AY181"/>
      <c r="AZ181"/>
    </row>
    <row r="182" spans="30:52" ht="11.45" customHeight="1">
      <c r="AD182" s="161"/>
      <c r="AU182"/>
      <c r="AV182"/>
      <c r="AW182"/>
      <c r="AX182"/>
      <c r="AY182"/>
      <c r="AZ182"/>
    </row>
    <row r="183" spans="30:52" ht="11.45" customHeight="1">
      <c r="AD183" s="161"/>
      <c r="AU183"/>
      <c r="AV183"/>
      <c r="AW183"/>
      <c r="AX183"/>
      <c r="AY183"/>
      <c r="AZ183"/>
    </row>
    <row r="184" spans="30:52" ht="11.45" customHeight="1">
      <c r="AD184" s="161"/>
      <c r="AU184"/>
      <c r="AV184"/>
      <c r="AW184"/>
      <c r="AX184"/>
      <c r="AY184"/>
      <c r="AZ184"/>
    </row>
    <row r="185" spans="30:52" ht="11.45" customHeight="1">
      <c r="AD185" s="161"/>
      <c r="AU185"/>
      <c r="AV185"/>
      <c r="AW185"/>
      <c r="AX185"/>
      <c r="AY185"/>
      <c r="AZ185"/>
    </row>
    <row r="186" spans="30:52" ht="11.45" customHeight="1">
      <c r="AD186" s="161"/>
      <c r="AU186"/>
      <c r="AV186"/>
      <c r="AW186"/>
      <c r="AX186"/>
      <c r="AY186"/>
      <c r="AZ186"/>
    </row>
    <row r="187" spans="30:52" ht="11.45" customHeight="1">
      <c r="AD187" s="161"/>
      <c r="AU187"/>
      <c r="AV187"/>
      <c r="AW187"/>
      <c r="AX187"/>
      <c r="AY187"/>
      <c r="AZ187"/>
    </row>
    <row r="188" spans="30:52" ht="11.45" customHeight="1">
      <c r="AD188" s="161"/>
      <c r="AU188"/>
      <c r="AV188"/>
      <c r="AW188"/>
      <c r="AX188"/>
      <c r="AY188"/>
      <c r="AZ188"/>
    </row>
    <row r="189" spans="30:52" ht="11.45" customHeight="1">
      <c r="AD189" s="161"/>
      <c r="AU189"/>
      <c r="AV189"/>
      <c r="AW189"/>
      <c r="AX189"/>
      <c r="AY189"/>
      <c r="AZ189"/>
    </row>
    <row r="190" spans="30:52" ht="11.45" customHeight="1">
      <c r="AD190" s="161"/>
      <c r="AU190"/>
      <c r="AV190"/>
      <c r="AW190"/>
      <c r="AX190"/>
      <c r="AY190"/>
      <c r="AZ190"/>
    </row>
    <row r="191" spans="30:52" ht="11.45" customHeight="1">
      <c r="AD191" s="161"/>
      <c r="AU191"/>
      <c r="AV191"/>
      <c r="AW191"/>
      <c r="AX191"/>
      <c r="AY191"/>
      <c r="AZ191"/>
    </row>
    <row r="192" spans="30:52" ht="11.45" customHeight="1">
      <c r="AD192" s="161"/>
      <c r="AU192"/>
      <c r="AV192"/>
      <c r="AW192"/>
      <c r="AX192"/>
      <c r="AY192"/>
      <c r="AZ192"/>
    </row>
    <row r="193" spans="30:52" ht="11.45" customHeight="1">
      <c r="AD193" s="161"/>
      <c r="AU193"/>
      <c r="AV193"/>
      <c r="AW193"/>
      <c r="AX193"/>
      <c r="AY193"/>
      <c r="AZ193"/>
    </row>
    <row r="194" spans="30:52" ht="11.45" customHeight="1">
      <c r="AD194" s="161"/>
      <c r="AU194"/>
      <c r="AV194"/>
      <c r="AW194"/>
      <c r="AX194"/>
      <c r="AY194"/>
      <c r="AZ194"/>
    </row>
    <row r="195" spans="30:52" ht="11.45" customHeight="1">
      <c r="AD195" s="161"/>
      <c r="AU195"/>
      <c r="AV195"/>
      <c r="AW195"/>
      <c r="AX195"/>
      <c r="AY195"/>
      <c r="AZ195"/>
    </row>
    <row r="196" spans="30:52" ht="11.45" customHeight="1">
      <c r="AD196" s="161"/>
      <c r="AU196"/>
      <c r="AV196"/>
      <c r="AW196"/>
      <c r="AX196"/>
      <c r="AY196"/>
      <c r="AZ196"/>
    </row>
    <row r="197" spans="30:52" ht="11.45" customHeight="1">
      <c r="AD197" s="161"/>
      <c r="AU197"/>
      <c r="AV197"/>
      <c r="AW197"/>
      <c r="AX197"/>
      <c r="AY197"/>
      <c r="AZ197"/>
    </row>
    <row r="198" spans="30:52" ht="11.45" customHeight="1">
      <c r="AD198" s="161"/>
      <c r="AU198"/>
      <c r="AV198"/>
      <c r="AW198"/>
      <c r="AX198"/>
      <c r="AY198"/>
      <c r="AZ198"/>
    </row>
    <row r="199" spans="30:52" ht="11.45" customHeight="1">
      <c r="AD199" s="161"/>
      <c r="AU199"/>
      <c r="AV199"/>
      <c r="AW199"/>
      <c r="AX199"/>
      <c r="AY199"/>
      <c r="AZ199"/>
    </row>
    <row r="200" spans="30:52" ht="11.45" customHeight="1">
      <c r="AD200" s="161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2">
    <mergeCell ref="B1:O1"/>
    <mergeCell ref="P4:U4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расчет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2026-01-22T10:04:39Z</dcterms:modified>
</cp:coreProperties>
</file>