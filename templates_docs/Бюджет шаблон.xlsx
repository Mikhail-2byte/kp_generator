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_exel\"/>
    </mc:Choice>
  </mc:AlternateContent>
  <xr:revisionPtr revIDLastSave="0" documentId="13_ncr:1_{716BADE0-C532-4B0D-92A6-DA2756812951}" xr6:coauthVersionLast="47" xr6:coauthVersionMax="47" xr10:uidLastSave="{00000000-0000-0000-0000-000000000000}"/>
  <bookViews>
    <workbookView xWindow="-120" yWindow="-120" windowWidth="29040" windowHeight="15990" tabRatio="294" xr2:uid="{00000000-000D-0000-FFFF-FFFF00000000}"/>
  </bookViews>
  <sheets>
    <sheet name="расчет" sheetId="4" r:id="rId1"/>
  </sheets>
  <definedNames>
    <definedName name="_xlnm._FilterDatabase" localSheetId="0" hidden="1">расчет!$A$9:$AG$36</definedName>
    <definedName name="Длина_сделки">расчет!$K$15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" i="4" l="1"/>
  <c r="I37" i="4"/>
  <c r="I35" i="4"/>
  <c r="I34" i="4"/>
  <c r="I30" i="4"/>
  <c r="I31" i="4"/>
  <c r="I32" i="4"/>
  <c r="K15" i="4" l="1"/>
  <c r="X11" i="4"/>
  <c r="L10" i="4" l="1"/>
  <c r="I10" i="4" l="1"/>
  <c r="I11" i="4" s="1"/>
  <c r="I19" i="4" s="1"/>
  <c r="O16" i="4" l="1"/>
  <c r="J10" i="4"/>
  <c r="I12" i="4" l="1"/>
  <c r="I24" i="4" s="1"/>
  <c r="I25" i="4" s="1"/>
  <c r="I26" i="4" s="1"/>
  <c r="O17" i="4" l="1"/>
  <c r="N10" i="4"/>
  <c r="W10" i="4" l="1"/>
  <c r="Q10" i="4" l="1"/>
  <c r="Q11" i="4" l="1"/>
  <c r="O10" i="4"/>
  <c r="O11" i="4" s="1"/>
  <c r="I28" i="4" s="1"/>
  <c r="I29" i="4" l="1"/>
  <c r="I33" i="4"/>
  <c r="T10" i="4"/>
  <c r="R10" i="4"/>
  <c r="Y10" i="4" s="1"/>
  <c r="Y11" i="4" s="1"/>
  <c r="V10" i="4"/>
  <c r="S10" i="4" l="1"/>
  <c r="S11" i="4" s="1"/>
  <c r="U10" i="4"/>
  <c r="U11" i="4" l="1"/>
  <c r="Z10" i="4"/>
  <c r="Z11" i="4" l="1"/>
  <c r="I27" i="4" l="1"/>
  <c r="I38" i="4" s="1"/>
  <c r="I40" i="4" s="1"/>
</calcChain>
</file>

<file path=xl/sharedStrings.xml><?xml version="1.0" encoding="utf-8"?>
<sst xmlns="http://schemas.openxmlformats.org/spreadsheetml/2006/main" count="90" uniqueCount="84">
  <si>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</si>
  <si>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</si>
  <si>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</si>
  <si>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</si>
  <si>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</si>
  <si>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</si>
  <si>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</si>
  <si>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</si>
  <si>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</si>
  <si>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</si>
  <si>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</si>
  <si>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</si>
  <si>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</si>
  <si>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</si>
  <si>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</si>
  <si>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</si>
  <si>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</si>
  <si>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</si>
  <si>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</si>
  <si>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</si>
  <si>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</si>
  <si>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</si>
  <si>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</si>
  <si>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</si>
  <si>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</si>
  <si>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</si>
  <si>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</si>
  <si>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</si>
  <si>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</si>
  <si>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</si>
  <si>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</si>
  <si>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</si>
  <si>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Бюджет сделки по документу Спецификация ___ от  _____ 2024 г.
 на момент последнего движения</t>
  </si>
  <si>
    <t>ТД РИНАКО</t>
  </si>
  <si>
    <t>Материал</t>
  </si>
  <si>
    <t>№ п/п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</si>
  <si>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</si>
  <si>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</si>
  <si>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</si>
  <si>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</si>
  <si>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</si>
  <si>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</si>
  <si>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 xml:space="preserve">KONTRAGENT
</t>
  </si>
  <si>
    <t>%</t>
  </si>
  <si>
    <t>Сумма в рублях</t>
  </si>
  <si>
    <t>По потребителю:</t>
  </si>
  <si>
    <t xml:space="preserve">Договор поставки: </t>
  </si>
  <si>
    <t>Условия Поставки: 140-150 календарных дней с даты подписания спецификации последней стороной.</t>
  </si>
  <si>
    <t xml:space="preserve">Условия оплаты:  100% в течение 30 календарных дней от даты поставки
</t>
  </si>
  <si>
    <t>Длина сделки</t>
  </si>
  <si>
    <t>Итого без ндс</t>
  </si>
  <si>
    <t>Фактически оплачено по спецификации</t>
  </si>
  <si>
    <t>Итого с ндс</t>
  </si>
  <si>
    <t>Процент оплаты</t>
  </si>
  <si>
    <t>Итого по спецификации</t>
  </si>
  <si>
    <t>Итого по бюджету сделки</t>
  </si>
  <si>
    <t>Прогноз выручки по контракту</t>
  </si>
  <si>
    <t>Сумма НДС (начислено)</t>
  </si>
  <si>
    <t>Выручка по контракту (без НДС)</t>
  </si>
  <si>
    <t>Всего прямых затрат, в т.ч. (без НДС)</t>
  </si>
  <si>
    <t>- стоимость контракта</t>
  </si>
  <si>
    <t xml:space="preserve"> - стоимость конвертации (3,2%)</t>
  </si>
  <si>
    <t>КНР</t>
  </si>
  <si>
    <t>- таможенная пошлина (плановая)</t>
  </si>
  <si>
    <t>- транспортные до границы РФ</t>
  </si>
  <si>
    <t>- транспортные по РФ</t>
  </si>
  <si>
    <t>ДА</t>
  </si>
  <si>
    <t>НЕТ</t>
  </si>
  <si>
    <t>РФ</t>
  </si>
  <si>
    <t>КРЕДИТ</t>
  </si>
  <si>
    <t xml:space="preserve"> - сертификация</t>
  </si>
  <si>
    <t xml:space="preserve"> - шеф-монтаж</t>
  </si>
  <si>
    <t>БАНКОВСКАЯ ГАРАНТИЯ</t>
  </si>
  <si>
    <t>- ПНР</t>
  </si>
  <si>
    <t>Маржинальный доход (вклад на покрытие), руб</t>
  </si>
  <si>
    <t>Скидка, %</t>
  </si>
  <si>
    <t>Маржинальный доход , %</t>
  </si>
  <si>
    <t>{{ company }}</t>
  </si>
  <si>
    <t>{{ product }} ч.{{ drawing_number }}</t>
  </si>
  <si>
    <t>{{ quantity }}</t>
  </si>
  <si>
    <t>{{ cost_price }}</t>
  </si>
  <si>
    <t>{{ weight }}</t>
  </si>
  <si>
    <t>{{ logistics }}</t>
  </si>
  <si>
    <t>КНР-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</si>
</sst>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[$-415]General"/>
    <numFmt numFmtId="166" formatCode="_ * #,##0.00_ ;_ * \-#,##0.00_ ;_ * &quot;-&quot;??_ ;_ @_ "/>
    <numFmt numFmtId="167" formatCode="[$$-409]#,##0.00"/>
    <numFmt numFmtId="168" formatCode="_-* #,##0.00_р_._-;\-* #,##0.00_р_._-;_-* &quot;-&quot;??_р_._-;_-@_-"/>
    <numFmt numFmtId="169" formatCode="[$$-409]#,##0.0"/>
    <numFmt numFmtId="170" formatCode="0.0"/>
    <numFmt numFmtId="171" formatCode="#,##0.00_ "/>
    <numFmt numFmtId="172" formatCode="_-* #,##0.00[$€-1]_-;\-* #,##0.00[$€-1]_-;_-* &quot;-&quot;??[$€-1]_-"/>
    <numFmt numFmtId="173" formatCode="#,##0.0_ "/>
    <numFmt numFmtId="174" formatCode="_-* #,##0\ &quot;₽&quot;_-;\-* #,##0\ &quot;₽&quot;_-;_-* &quot;-&quot;??\ &quot;₽&quot;_-;_-@_-"/>
    <numFmt numFmtId="175" formatCode="[$¥-478]#,##0.00"/>
    <numFmt numFmtId="176" formatCode="_ [$¥-478]* #,##0_ ;_ [$¥-478]* \-#,##0_ ;_ [$¥-478]* &quot;-&quot;_ ;_ @_ "/>
    <numFmt numFmtId="177" formatCode="[$¥-478]#,##0"/>
    <numFmt numFmtId="178" formatCode="#,##0.00\ &quot;₽&quot;"/>
    <numFmt numFmtId="179" formatCode="[$¥-804]#,##0.00"/>
    <numFmt numFmtId="180" formatCode="&quot;¥&quot;#,##0.00_);[Red]\(&quot;¥&quot;#,##0.00\)"/>
    <numFmt numFmtId="181" formatCode="[$¥-478]#,##0.0"/>
    <numFmt numFmtId="182" formatCode="#,##0.00\ &quot;₽&quot;;[Red]#,##0.00\ &quot;₽&quot;"/>
    <numFmt numFmtId="183" formatCode="_-* #,##0.00\ [$₽-419]_-;\-* #,##0.00\ [$₽-419]_-;_-* &quot;-&quot;??\ [$₽-419]_-;_-@_-"/>
    <numFmt numFmtId="184" formatCode="_ [$¥-804]* #,##0.00_ ;_ [$¥-804]* \-#,##0.00_ ;_ [$¥-804]* &quot;-&quot;??_ ;_ @_ "/>
    <numFmt numFmtId="185" formatCode="_-* #,##0\ _₽_-;\-* #,##0\ _₽_-;_-* &quot;-&quot;??\ _₽_-;_-@_-"/>
  </numFmts>
  <fonts count="41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  <font>
      <sz val="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5" fontId="10" fillId="0" borderId="3"/>
    <xf numFmtId="0" fontId="12" fillId="0" borderId="3"/>
    <xf numFmtId="166" fontId="9" fillId="0" borderId="3" applyFont="0" applyFill="0" applyBorder="0" applyAlignment="0" applyProtection="0">
      <alignment vertical="center"/>
    </xf>
    <xf numFmtId="0" fontId="9" fillId="0" borderId="3"/>
    <xf numFmtId="166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6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8" fontId="7" fillId="0" borderId="3" applyFont="0" applyFill="0" applyBorder="0" applyAlignment="0" applyProtection="0"/>
    <xf numFmtId="168" fontId="6" fillId="0" borderId="3" applyFont="0" applyFill="0" applyBorder="0" applyAlignment="0" applyProtection="0"/>
    <xf numFmtId="166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2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72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172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2" fontId="17" fillId="0" borderId="3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8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8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20" fillId="0" borderId="3"/>
    <xf numFmtId="0" fontId="20" fillId="0" borderId="3"/>
    <xf numFmtId="0" fontId="4" fillId="0" borderId="3"/>
    <xf numFmtId="172" fontId="17" fillId="0" borderId="3"/>
    <xf numFmtId="0" fontId="12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20" fillId="0" borderId="3"/>
    <xf numFmtId="0" fontId="20" fillId="0" borderId="3"/>
    <xf numFmtId="172" fontId="17" fillId="0" borderId="3"/>
    <xf numFmtId="0" fontId="4" fillId="0" borderId="3"/>
    <xf numFmtId="0" fontId="20" fillId="0" borderId="3"/>
    <xf numFmtId="0" fontId="4" fillId="0" borderId="3"/>
    <xf numFmtId="172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172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72" fontId="17" fillId="0" borderId="3"/>
    <xf numFmtId="0" fontId="22" fillId="0" borderId="3"/>
    <xf numFmtId="0" fontId="22" fillId="0" borderId="3"/>
    <xf numFmtId="172" fontId="17" fillId="0" borderId="3"/>
    <xf numFmtId="172" fontId="17" fillId="0" borderId="3"/>
    <xf numFmtId="172" fontId="17" fillId="0" borderId="3"/>
    <xf numFmtId="0" fontId="12" fillId="0" borderId="3"/>
    <xf numFmtId="172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166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4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0" fontId="22" fillId="0" borderId="3"/>
    <xf numFmtId="0" fontId="22" fillId="0" borderId="3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6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6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8" fontId="4" fillId="0" borderId="3" applyFont="0" applyFill="0" applyBorder="0" applyAlignment="0" applyProtection="0"/>
    <xf numFmtId="0" fontId="24" fillId="0" borderId="3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4" fillId="0" borderId="3"/>
    <xf numFmtId="168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8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6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8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8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166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168" fontId="20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23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8" fontId="4" fillId="0" borderId="3" applyFont="0" applyFill="0" applyBorder="0" applyAlignment="0" applyProtection="0"/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4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6" fontId="12" fillId="0" borderId="3" applyFont="0" applyFill="0" applyBorder="0" applyAlignment="0" applyProtection="0">
      <alignment vertical="center"/>
    </xf>
    <xf numFmtId="168" fontId="20" fillId="0" borderId="3" applyFont="0" applyFill="0" applyBorder="0" applyAlignment="0" applyProtection="0"/>
    <xf numFmtId="0" fontId="3" fillId="0" borderId="3">
      <alignment vertical="center"/>
    </xf>
    <xf numFmtId="166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6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73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14" xfId="0" applyFont="1" applyFill="1" applyBorder="1" applyAlignment="1">
      <alignment vertical="center"/>
    </xf>
    <xf numFmtId="14" fontId="32" fillId="0" borderId="14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14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14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8" xfId="0" applyFont="1" applyFill="1" applyBorder="1" applyAlignment="1">
      <alignment vertical="center" wrapText="1"/>
    </xf>
    <xf numFmtId="0" fontId="34" fillId="0" borderId="14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14" xfId="0" applyNumberFormat="1" applyFont="1" applyFill="1" applyBorder="1" applyAlignment="1">
      <alignment horizontal="center" vertical="top"/>
    </xf>
    <xf numFmtId="1" fontId="32" fillId="0" borderId="4" xfId="0" applyNumberFormat="1" applyFont="1" applyBorder="1" applyAlignment="1">
      <alignment horizontal="center" vertical="top"/>
    </xf>
    <xf numFmtId="1" fontId="32" fillId="0" borderId="14" xfId="0" applyNumberFormat="1" applyFont="1" applyBorder="1" applyAlignment="1">
      <alignment horizontal="center" vertical="top"/>
    </xf>
    <xf numFmtId="1" fontId="32" fillId="0" borderId="5" xfId="0" applyNumberFormat="1" applyFont="1" applyBorder="1" applyAlignment="1">
      <alignment horizontal="center" vertical="top"/>
    </xf>
    <xf numFmtId="0" fontId="32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2" fillId="2" borderId="14" xfId="0" applyFont="1" applyFill="1" applyBorder="1" applyAlignment="1">
      <alignment horizontal="center"/>
    </xf>
    <xf numFmtId="185" fontId="32" fillId="0" borderId="14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4" xfId="0" applyNumberFormat="1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7" fillId="0" borderId="14" xfId="17" applyFont="1" applyBorder="1" applyAlignment="1">
      <alignment horizontal="center" vertical="center" wrapText="1"/>
    </xf>
    <xf numFmtId="0" fontId="37" fillId="0" borderId="14" xfId="1655" applyFont="1" applyFill="1" applyBorder="1" applyAlignment="1" applyProtection="1">
      <alignment horizontal="center" vertical="center" wrapText="1"/>
      <protection hidden="1"/>
    </xf>
    <xf numFmtId="180" fontId="38" fillId="0" borderId="14" xfId="0" applyNumberFormat="1" applyFont="1" applyFill="1" applyBorder="1" applyAlignment="1">
      <alignment horizontal="center" vertical="center"/>
    </xf>
    <xf numFmtId="182" fontId="38" fillId="0" borderId="5" xfId="0" applyNumberFormat="1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 wrapText="1"/>
    </xf>
    <xf numFmtId="0" fontId="38" fillId="3" borderId="14" xfId="0" applyFont="1" applyFill="1" applyBorder="1" applyAlignment="1">
      <alignment horizontal="center" vertical="center"/>
    </xf>
    <xf numFmtId="180" fontId="38" fillId="3" borderId="14" xfId="0" applyNumberFormat="1" applyFont="1" applyFill="1" applyBorder="1" applyAlignment="1">
      <alignment horizontal="center" vertical="center"/>
    </xf>
    <xf numFmtId="175" fontId="37" fillId="3" borderId="14" xfId="1624" applyNumberFormat="1" applyFont="1" applyFill="1" applyBorder="1" applyAlignment="1">
      <alignment horizontal="center" vertical="center" wrapText="1"/>
    </xf>
    <xf numFmtId="175" fontId="32" fillId="3" borderId="14" xfId="0" applyNumberFormat="1" applyFont="1" applyFill="1" applyBorder="1" applyAlignment="1">
      <alignment horizontal="center" vertical="center"/>
    </xf>
    <xf numFmtId="4" fontId="32" fillId="3" borderId="14" xfId="0" applyNumberFormat="1" applyFont="1" applyFill="1" applyBorder="1" applyAlignment="1">
      <alignment horizontal="center" vertical="center"/>
    </xf>
    <xf numFmtId="184" fontId="32" fillId="3" borderId="14" xfId="0" applyNumberFormat="1" applyFont="1" applyFill="1" applyBorder="1" applyAlignment="1">
      <alignment horizontal="center" vertical="center"/>
    </xf>
    <xf numFmtId="181" fontId="32" fillId="3" borderId="14" xfId="0" applyNumberFormat="1" applyFont="1" applyFill="1" applyBorder="1" applyAlignment="1">
      <alignment horizontal="center" vertical="center"/>
    </xf>
    <xf numFmtId="9" fontId="32" fillId="3" borderId="14" xfId="0" applyNumberFormat="1" applyFont="1" applyFill="1" applyBorder="1" applyAlignment="1">
      <alignment horizontal="center" vertical="center"/>
    </xf>
    <xf numFmtId="177" fontId="32" fillId="3" borderId="14" xfId="0" applyNumberFormat="1" applyFont="1" applyFill="1" applyBorder="1" applyAlignment="1">
      <alignment horizontal="center" vertical="center"/>
    </xf>
    <xf numFmtId="9" fontId="32" fillId="3" borderId="14" xfId="13" applyFont="1" applyFill="1" applyBorder="1" applyAlignment="1">
      <alignment horizontal="center" vertical="center"/>
    </xf>
    <xf numFmtId="184" fontId="32" fillId="5" borderId="14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9" xfId="0" applyNumberFormat="1" applyFont="1" applyFill="1" applyBorder="1" applyAlignment="1">
      <alignment horizontal="center" vertical="center"/>
    </xf>
    <xf numFmtId="175" fontId="32" fillId="2" borderId="3" xfId="0" applyNumberFormat="1" applyFont="1" applyFill="1" applyBorder="1" applyAlignment="1">
      <alignment horizontal="center" vertical="center"/>
    </xf>
    <xf numFmtId="180" fontId="38" fillId="0" borderId="3" xfId="0" applyNumberFormat="1" applyFont="1" applyFill="1" applyBorder="1" applyAlignment="1">
      <alignment horizontal="center" vertical="center"/>
    </xf>
    <xf numFmtId="1" fontId="32" fillId="2" borderId="11" xfId="0" applyNumberFormat="1" applyFont="1" applyFill="1" applyBorder="1" applyAlignment="1">
      <alignment horizontal="center" vertical="center"/>
    </xf>
    <xf numFmtId="3" fontId="32" fillId="0" borderId="12" xfId="0" applyNumberFormat="1" applyFont="1" applyBorder="1" applyAlignment="1">
      <alignment horizontal="center" vertical="center" wrapText="1"/>
    </xf>
    <xf numFmtId="168" fontId="39" fillId="0" borderId="13" xfId="1509" applyFont="1" applyBorder="1" applyAlignment="1">
      <alignment horizontal="center" vertical="center"/>
    </xf>
    <xf numFmtId="178" fontId="39" fillId="0" borderId="12" xfId="16" applyNumberFormat="1" applyFont="1" applyBorder="1" applyAlignment="1">
      <alignment horizontal="center" vertical="center"/>
    </xf>
    <xf numFmtId="173" fontId="32" fillId="0" borderId="3" xfId="0" applyNumberFormat="1" applyFont="1" applyBorder="1" applyAlignment="1">
      <alignment horizontal="center"/>
    </xf>
    <xf numFmtId="170" fontId="32" fillId="0" borderId="14" xfId="0" applyNumberFormat="1" applyFont="1" applyBorder="1" applyAlignment="1">
      <alignment horizontal="center" vertical="center"/>
    </xf>
    <xf numFmtId="179" fontId="32" fillId="0" borderId="3" xfId="0" applyNumberFormat="1" applyFont="1" applyBorder="1" applyAlignment="1">
      <alignment horizontal="left" vertical="center"/>
    </xf>
    <xf numFmtId="179" fontId="32" fillId="2" borderId="9" xfId="2" applyNumberFormat="1" applyFont="1" applyFill="1" applyBorder="1" applyAlignment="1">
      <alignment horizontal="center" vertical="center"/>
    </xf>
    <xf numFmtId="174" fontId="32" fillId="2" borderId="3" xfId="2" applyNumberFormat="1" applyFont="1" applyFill="1" applyBorder="1" applyAlignment="1">
      <alignment horizontal="center" vertical="center"/>
    </xf>
    <xf numFmtId="169" fontId="32" fillId="0" borderId="3" xfId="0" applyNumberFormat="1" applyFont="1" applyBorder="1" applyAlignment="1">
      <alignment horizontal="center" vertical="center"/>
    </xf>
    <xf numFmtId="9" fontId="32" fillId="0" borderId="14" xfId="13" applyFont="1" applyBorder="1" applyAlignment="1">
      <alignment horizontal="center" vertical="center"/>
    </xf>
    <xf numFmtId="9" fontId="32" fillId="3" borderId="9" xfId="13" applyFont="1" applyFill="1" applyBorder="1" applyAlignment="1">
      <alignment horizontal="center" vertical="center"/>
    </xf>
    <xf numFmtId="0" fontId="32" fillId="0" borderId="4" xfId="4" applyFont="1" applyBorder="1" applyAlignment="1" applyProtection="1">
      <alignment horizontal="left" vertical="center" wrapText="1"/>
      <protection hidden="1"/>
    </xf>
    <xf numFmtId="0" fontId="32" fillId="0" borderId="14" xfId="4" applyFont="1" applyBorder="1" applyAlignment="1" applyProtection="1">
      <alignment horizontal="left" vertical="center" wrapText="1"/>
      <protection hidden="1"/>
    </xf>
    <xf numFmtId="1" fontId="32" fillId="2" borderId="4" xfId="0" applyNumberFormat="1" applyFont="1" applyFill="1" applyBorder="1" applyAlignment="1">
      <alignment horizontal="center" vertical="center"/>
    </xf>
    <xf numFmtId="183" fontId="38" fillId="0" borderId="3" xfId="0" applyNumberFormat="1" applyFont="1" applyFill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 wrapText="1"/>
    </xf>
    <xf numFmtId="171" fontId="39" fillId="0" borderId="10" xfId="16" applyNumberFormat="1" applyFont="1" applyBorder="1" applyAlignment="1">
      <alignment horizontal="center" vertical="center"/>
    </xf>
    <xf numFmtId="4" fontId="32" fillId="2" borderId="10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70" fontId="32" fillId="0" borderId="3" xfId="0" applyNumberFormat="1" applyFont="1" applyBorder="1" applyAlignment="1">
      <alignment horizontal="center" vertical="center"/>
    </xf>
    <xf numFmtId="167" fontId="32" fillId="0" borderId="3" xfId="0" applyNumberFormat="1" applyFont="1" applyBorder="1" applyAlignment="1">
      <alignment horizontal="left" vertical="center"/>
    </xf>
    <xf numFmtId="175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6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7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vertical="center"/>
    </xf>
    <xf numFmtId="0" fontId="32" fillId="2" borderId="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/>
    </xf>
    <xf numFmtId="0" fontId="32" fillId="3" borderId="14" xfId="0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4" borderId="17" xfId="0" applyFont="1" applyFill="1" applyBorder="1" applyAlignment="1">
      <alignment vertical="top"/>
    </xf>
    <xf numFmtId="0" fontId="32" fillId="4" borderId="18" xfId="0" applyFont="1" applyFill="1" applyBorder="1" applyAlignment="1">
      <alignment vertical="top"/>
    </xf>
    <xf numFmtId="4" fontId="32" fillId="0" borderId="0" xfId="0" applyNumberFormat="1" applyFont="1"/>
    <xf numFmtId="0" fontId="32" fillId="0" borderId="3" xfId="0" applyFont="1" applyBorder="1" applyAlignment="1">
      <alignment wrapText="1"/>
    </xf>
    <xf numFmtId="44" fontId="32" fillId="0" borderId="0" xfId="2" applyFont="1" applyAlignment="1">
      <alignment horizontal="left"/>
    </xf>
    <xf numFmtId="44" fontId="32" fillId="0" borderId="3" xfId="0" applyNumberFormat="1" applyFont="1" applyBorder="1" applyAlignment="1">
      <alignment horizontal="right"/>
    </xf>
    <xf numFmtId="0" fontId="32" fillId="0" borderId="3" xfId="0" applyFont="1" applyBorder="1" applyAlignment="1">
      <alignment horizontal="right"/>
    </xf>
    <xf numFmtId="4" fontId="32" fillId="0" borderId="3" xfId="0" applyNumberFormat="1" applyFont="1" applyBorder="1" applyAlignment="1">
      <alignment horizontal="right"/>
    </xf>
    <xf numFmtId="0" fontId="32" fillId="2" borderId="17" xfId="0" applyFont="1" applyFill="1" applyBorder="1" applyAlignment="1"/>
    <xf numFmtId="0" fontId="32" fillId="2" borderId="18" xfId="0" applyFont="1" applyFill="1" applyBorder="1" applyAlignment="1"/>
    <xf numFmtId="0" fontId="32" fillId="2" borderId="20" xfId="0" applyFont="1" applyFill="1" applyBorder="1" applyAlignment="1"/>
    <xf numFmtId="0" fontId="33" fillId="2" borderId="18" xfId="0" applyFont="1" applyFill="1" applyBorder="1" applyAlignment="1"/>
    <xf numFmtId="0" fontId="33" fillId="2" borderId="17" xfId="0" applyFont="1" applyFill="1" applyBorder="1" applyAlignment="1"/>
    <xf numFmtId="0" fontId="33" fillId="4" borderId="7" xfId="0" applyFont="1" applyFill="1" applyBorder="1" applyAlignment="1">
      <alignment horizontal="center" vertical="center"/>
    </xf>
    <xf numFmtId="0" fontId="32" fillId="4" borderId="18" xfId="0" applyFont="1" applyFill="1" applyBorder="1" applyAlignment="1"/>
    <xf numFmtId="49" fontId="32" fillId="2" borderId="17" xfId="0" applyNumberFormat="1" applyFont="1" applyFill="1" applyBorder="1" applyAlignment="1"/>
    <xf numFmtId="0" fontId="32" fillId="4" borderId="17" xfId="0" applyFont="1" applyFill="1" applyBorder="1" applyAlignment="1">
      <alignment vertical="center"/>
    </xf>
    <xf numFmtId="0" fontId="32" fillId="4" borderId="18" xfId="0" applyFont="1" applyFill="1" applyBorder="1" applyAlignment="1">
      <alignment vertical="center"/>
    </xf>
    <xf numFmtId="0" fontId="33" fillId="0" borderId="16" xfId="0" applyFont="1" applyBorder="1" applyAlignment="1">
      <alignment horizontal="left" vertical="top"/>
    </xf>
    <xf numFmtId="1" fontId="32" fillId="0" borderId="4" xfId="0" applyNumberFormat="1" applyFont="1" applyFill="1" applyBorder="1" applyAlignment="1">
      <alignment horizontal="center" vertical="top"/>
    </xf>
    <xf numFmtId="0" fontId="33" fillId="0" borderId="15" xfId="0" applyFont="1" applyBorder="1" applyAlignment="1">
      <alignment vertical="top"/>
    </xf>
    <xf numFmtId="0" fontId="33" fillId="0" borderId="16" xfId="0" applyFont="1" applyBorder="1" applyAlignment="1">
      <alignment vertical="top"/>
    </xf>
    <xf numFmtId="0" fontId="32" fillId="2" borderId="4" xfId="0" applyFont="1" applyFill="1" applyBorder="1" applyAlignment="1">
      <alignment horizontal="center" vertical="center"/>
    </xf>
    <xf numFmtId="3" fontId="32" fillId="2" borderId="16" xfId="4" applyNumberFormat="1" applyFont="1" applyFill="1" applyBorder="1" applyAlignment="1" applyProtection="1">
      <alignment vertical="center"/>
      <protection hidden="1"/>
    </xf>
    <xf numFmtId="3" fontId="32" fillId="2" borderId="4" xfId="0" applyNumberFormat="1" applyFont="1" applyFill="1" applyBorder="1" applyAlignment="1">
      <alignment horizontal="center" vertical="center"/>
    </xf>
    <xf numFmtId="3" fontId="32" fillId="2" borderId="9" xfId="0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12" xfId="0" applyFont="1" applyBorder="1" applyAlignment="1">
      <alignment vertical="center" wrapText="1"/>
    </xf>
    <xf numFmtId="1" fontId="32" fillId="0" borderId="4" xfId="0" applyNumberFormat="1" applyFont="1" applyFill="1" applyBorder="1" applyAlignment="1">
      <alignment vertical="top"/>
    </xf>
    <xf numFmtId="0" fontId="33" fillId="0" borderId="14" xfId="0" applyFont="1" applyBorder="1" applyAlignment="1">
      <alignment vertical="top"/>
    </xf>
    <xf numFmtId="0" fontId="32" fillId="4" borderId="5" xfId="0" applyFont="1" applyFill="1" applyBorder="1" applyAlignment="1">
      <alignment vertical="center" wrapText="1"/>
    </xf>
    <xf numFmtId="0" fontId="32" fillId="4" borderId="7" xfId="0" applyFont="1" applyFill="1" applyBorder="1" applyAlignment="1">
      <alignment vertical="center" wrapText="1"/>
    </xf>
    <xf numFmtId="0" fontId="32" fillId="0" borderId="5" xfId="0" applyFont="1" applyBorder="1" applyAlignment="1">
      <alignment vertical="center"/>
    </xf>
    <xf numFmtId="0" fontId="37" fillId="0" borderId="1" xfId="0" applyFont="1" applyBorder="1" applyAlignment="1">
      <alignment vertical="top"/>
    </xf>
    <xf numFmtId="0" fontId="37" fillId="0" borderId="3" xfId="0" applyFont="1" applyBorder="1" applyAlignment="1">
      <alignment horizontal="left" vertical="top"/>
    </xf>
    <xf numFmtId="0" fontId="37" fillId="0" borderId="3" xfId="0" applyFont="1" applyBorder="1" applyAlignment="1">
      <alignment horizontal="left" vertical="top" wrapText="1"/>
    </xf>
    <xf numFmtId="0" fontId="37" fillId="0" borderId="6" xfId="0" applyFont="1" applyBorder="1" applyAlignment="1">
      <alignment vertical="center"/>
    </xf>
    <xf numFmtId="0" fontId="37" fillId="0" borderId="4" xfId="0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center" vertical="top"/>
    </xf>
    <xf numFmtId="180" fontId="37" fillId="0" borderId="14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7" fillId="0" borderId="19" xfId="0" applyFont="1" applyBorder="1" applyAlignment="1">
      <alignment vertical="top"/>
    </xf>
    <xf numFmtId="0" fontId="37" fillId="4" borderId="14" xfId="0" applyFont="1" applyFill="1" applyBorder="1" applyAlignment="1">
      <alignment vertical="top"/>
    </xf>
    <xf numFmtId="0" fontId="37" fillId="0" borderId="14" xfId="0" applyFont="1" applyBorder="1" applyAlignment="1"/>
    <xf numFmtId="44" fontId="37" fillId="2" borderId="14" xfId="0" applyNumberFormat="1" applyFont="1" applyFill="1" applyBorder="1" applyAlignment="1">
      <alignment horizontal="right"/>
    </xf>
    <xf numFmtId="0" fontId="37" fillId="2" borderId="14" xfId="0" applyFont="1" applyFill="1" applyBorder="1" applyAlignment="1">
      <alignment horizontal="right"/>
    </xf>
    <xf numFmtId="179" fontId="37" fillId="2" borderId="14" xfId="0" applyNumberFormat="1" applyFont="1" applyFill="1" applyBorder="1" applyAlignment="1">
      <alignment horizontal="right"/>
    </xf>
    <xf numFmtId="0" fontId="36" fillId="0" borderId="7" xfId="0" applyFont="1" applyBorder="1" applyAlignment="1">
      <alignment vertical="center" wrapText="1"/>
    </xf>
    <xf numFmtId="175" fontId="37" fillId="6" borderId="14" xfId="0" applyNumberFormat="1" applyFont="1" applyFill="1" applyBorder="1" applyAlignment="1">
      <alignment horizontal="right" vertical="center"/>
    </xf>
    <xf numFmtId="175" fontId="37" fillId="0" borderId="14" xfId="0" applyNumberFormat="1" applyFont="1" applyBorder="1" applyAlignment="1">
      <alignment horizontal="right" vertical="center"/>
    </xf>
    <xf numFmtId="175" fontId="37" fillId="4" borderId="14" xfId="0" applyNumberFormat="1" applyFont="1" applyFill="1" applyBorder="1" applyAlignment="1">
      <alignment horizontal="right" vertical="center"/>
    </xf>
    <xf numFmtId="9" fontId="37" fillId="4" borderId="14" xfId="13" applyFont="1" applyFill="1" applyBorder="1" applyAlignment="1">
      <alignment horizontal="right" vertical="center"/>
    </xf>
    <xf numFmtId="0" fontId="40" fillId="0" borderId="0" xfId="0" applyFont="1"/>
    <xf numFmtId="0" fontId="38" fillId="0" borderId="14" xfId="0" applyFont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/>
    </xf>
    <xf numFmtId="183" fontId="32" fillId="0" borderId="0" xfId="0" applyNumberFormat="1" applyFont="1"/>
    <xf numFmtId="0" fontId="37" fillId="0" borderId="0" xfId="0" applyFont="1"/>
    <xf numFmtId="0" fontId="33" fillId="0" borderId="5" xfId="0" applyFont="1" applyBorder="1" applyAlignment="1">
      <alignment horizontal="center" vertical="top" wrapText="1"/>
    </xf>
    <xf numFmtId="0" fontId="33" fillId="0" borderId="6" xfId="0" applyFont="1" applyBorder="1" applyAlignment="1">
      <alignment horizontal="center" vertical="top" wrapText="1"/>
    </xf>
    <xf numFmtId="0" fontId="33" fillId="0" borderId="7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wrapText="1"/>
    </xf>
  </cellXfs>
  <cellStyles count="1662">
    <cellStyle name="Excel Built-in Normal" xfId="78" xr:uid="{00000000-0005-0000-0000-000000000000}"/>
    <cellStyle name="Excel Built-in Normal 2" xfId="95" xr:uid="{00000000-0005-0000-0000-000001000000}"/>
    <cellStyle name="Excel Built-in Normal 2 2" xfId="89" xr:uid="{00000000-0005-0000-0000-000002000000}"/>
    <cellStyle name="Excel Built-in Normal 3" xfId="96" xr:uid="{00000000-0005-0000-0000-000003000000}"/>
    <cellStyle name="Excel Built-in Normal 4" xfId="97" xr:uid="{00000000-0005-0000-0000-000004000000}"/>
    <cellStyle name="Excel Built-in Normal 4 2" xfId="81" xr:uid="{00000000-0005-0000-0000-000005000000}"/>
    <cellStyle name="Excel Built-in Normal 5" xfId="76" xr:uid="{00000000-0005-0000-0000-000006000000}"/>
    <cellStyle name="Excel Built-in Normal 5 2" xfId="77" xr:uid="{00000000-0005-0000-0000-000007000000}"/>
    <cellStyle name="Гиперссылка 2" xfId="48" xr:uid="{00000000-0005-0000-0000-000008000000}"/>
    <cellStyle name="Гиперссылка 2 10" xfId="94" xr:uid="{00000000-0005-0000-0000-000009000000}"/>
    <cellStyle name="Гиперссылка 2 2" xfId="98" xr:uid="{00000000-0005-0000-0000-00000A000000}"/>
    <cellStyle name="Гиперссылка 2 2 2" xfId="99" xr:uid="{00000000-0005-0000-0000-00000B000000}"/>
    <cellStyle name="Гиперссылка 2 2 2 2" xfId="84" xr:uid="{00000000-0005-0000-0000-00000C000000}"/>
    <cellStyle name="Гиперссылка 2 2 2 2 2" xfId="104" xr:uid="{00000000-0005-0000-0000-00000D000000}"/>
    <cellStyle name="Гиперссылка 2 2 2 2 2 2" xfId="83" xr:uid="{00000000-0005-0000-0000-00000E000000}"/>
    <cellStyle name="Гиперссылка 2 2 2 2 2 3" xfId="88" xr:uid="{00000000-0005-0000-0000-00000F000000}"/>
    <cellStyle name="Гиперссылка 2 2 2 2 2 4" xfId="108" xr:uid="{00000000-0005-0000-0000-000010000000}"/>
    <cellStyle name="Гиперссылка 2 2 2 2 2 5" xfId="113" xr:uid="{00000000-0005-0000-0000-000011000000}"/>
    <cellStyle name="Гиперссылка 2 2 2 2 3" xfId="114" xr:uid="{00000000-0005-0000-0000-000012000000}"/>
    <cellStyle name="Гиперссылка 2 2 2 2 4" xfId="116" xr:uid="{00000000-0005-0000-0000-000013000000}"/>
    <cellStyle name="Гиперссылка 2 2 2 2 5" xfId="118" xr:uid="{00000000-0005-0000-0000-000014000000}"/>
    <cellStyle name="Гиперссылка 2 2 2 2 6" xfId="120" xr:uid="{00000000-0005-0000-0000-000015000000}"/>
    <cellStyle name="Гиперссылка 2 2 2 3" xfId="121" xr:uid="{00000000-0005-0000-0000-000016000000}"/>
    <cellStyle name="Гиперссылка 2 2 2 3 2" xfId="122" xr:uid="{00000000-0005-0000-0000-000017000000}"/>
    <cellStyle name="Гиперссылка 2 2 2 3 3" xfId="123" xr:uid="{00000000-0005-0000-0000-000018000000}"/>
    <cellStyle name="Гиперссылка 2 2 2 3 4" xfId="125" xr:uid="{00000000-0005-0000-0000-000019000000}"/>
    <cellStyle name="Гиперссылка 2 2 2 3 5" xfId="127" xr:uid="{00000000-0005-0000-0000-00001A000000}"/>
    <cellStyle name="Гиперссылка 2 2 2 4" xfId="128" xr:uid="{00000000-0005-0000-0000-00001B000000}"/>
    <cellStyle name="Гиперссылка 2 2 2 5" xfId="130" xr:uid="{00000000-0005-0000-0000-00001C000000}"/>
    <cellStyle name="Гиперссылка 2 2 2 6" xfId="132" xr:uid="{00000000-0005-0000-0000-00001D000000}"/>
    <cellStyle name="Гиперссылка 2 2 2 7" xfId="134" xr:uid="{00000000-0005-0000-0000-00001E000000}"/>
    <cellStyle name="Гиперссылка 2 2 3" xfId="136" xr:uid="{00000000-0005-0000-0000-00001F000000}"/>
    <cellStyle name="Гиперссылка 2 2 3 2" xfId="138" xr:uid="{00000000-0005-0000-0000-000020000000}"/>
    <cellStyle name="Гиперссылка 2 2 3 2 2" xfId="143" xr:uid="{00000000-0005-0000-0000-000021000000}"/>
    <cellStyle name="Гиперссылка 2 2 3 2 3" xfId="145" xr:uid="{00000000-0005-0000-0000-000022000000}"/>
    <cellStyle name="Гиперссылка 2 2 3 2 4" xfId="147" xr:uid="{00000000-0005-0000-0000-000023000000}"/>
    <cellStyle name="Гиперссылка 2 2 3 2 5" xfId="149" xr:uid="{00000000-0005-0000-0000-000024000000}"/>
    <cellStyle name="Гиперссылка 2 2 3 3" xfId="151" xr:uid="{00000000-0005-0000-0000-000025000000}"/>
    <cellStyle name="Гиперссылка 2 2 3 4" xfId="158" xr:uid="{00000000-0005-0000-0000-000026000000}"/>
    <cellStyle name="Гиперссылка 2 2 3 5" xfId="163" xr:uid="{00000000-0005-0000-0000-000027000000}"/>
    <cellStyle name="Гиперссылка 2 2 3 6" xfId="166" xr:uid="{00000000-0005-0000-0000-000028000000}"/>
    <cellStyle name="Гиперссылка 2 2 4" xfId="168" xr:uid="{00000000-0005-0000-0000-000029000000}"/>
    <cellStyle name="Гиперссылка 2 2 4 2" xfId="172" xr:uid="{00000000-0005-0000-0000-00002A000000}"/>
    <cellStyle name="Гиперссылка 2 2 4 3" xfId="176" xr:uid="{00000000-0005-0000-0000-00002B000000}"/>
    <cellStyle name="Гиперссылка 2 2 4 4" xfId="177" xr:uid="{00000000-0005-0000-0000-00002C000000}"/>
    <cellStyle name="Гиперссылка 2 2 4 5" xfId="178" xr:uid="{00000000-0005-0000-0000-00002D000000}"/>
    <cellStyle name="Гиперссылка 2 2 5" xfId="180" xr:uid="{00000000-0005-0000-0000-00002E000000}"/>
    <cellStyle name="Гиперссылка 2 2 6" xfId="183" xr:uid="{00000000-0005-0000-0000-00002F000000}"/>
    <cellStyle name="Гиперссылка 2 2 7" xfId="185" xr:uid="{00000000-0005-0000-0000-000030000000}"/>
    <cellStyle name="Гиперссылка 2 2 8" xfId="186" xr:uid="{00000000-0005-0000-0000-000031000000}"/>
    <cellStyle name="Гиперссылка 2 3" xfId="189" xr:uid="{00000000-0005-0000-0000-000032000000}"/>
    <cellStyle name="Гиперссылка 2 3 2" xfId="190" xr:uid="{00000000-0005-0000-0000-000033000000}"/>
    <cellStyle name="Гиперссылка 2 3 2 2" xfId="193" xr:uid="{00000000-0005-0000-0000-000034000000}"/>
    <cellStyle name="Гиперссылка 2 3 2 2 2" xfId="36" xr:uid="{00000000-0005-0000-0000-000035000000}"/>
    <cellStyle name="Гиперссылка 2 3 2 2 3" xfId="196" xr:uid="{00000000-0005-0000-0000-000036000000}"/>
    <cellStyle name="Гиперссылка 2 3 2 2 4" xfId="199" xr:uid="{00000000-0005-0000-0000-000037000000}"/>
    <cellStyle name="Гиперссылка 2 3 2 2 5" xfId="201" xr:uid="{00000000-0005-0000-0000-000038000000}"/>
    <cellStyle name="Гиперссылка 2 3 2 3" xfId="203" xr:uid="{00000000-0005-0000-0000-000039000000}"/>
    <cellStyle name="Гиперссылка 2 3 2 4" xfId="205" xr:uid="{00000000-0005-0000-0000-00003A000000}"/>
    <cellStyle name="Гиперссылка 2 3 2 5" xfId="206" xr:uid="{00000000-0005-0000-0000-00003B000000}"/>
    <cellStyle name="Гиперссылка 2 3 2 6" xfId="207" xr:uid="{00000000-0005-0000-0000-00003C000000}"/>
    <cellStyle name="Гиперссылка 2 3 3" xfId="209" xr:uid="{00000000-0005-0000-0000-00003D000000}"/>
    <cellStyle name="Гиперссылка 2 3 3 2" xfId="210" xr:uid="{00000000-0005-0000-0000-00003E000000}"/>
    <cellStyle name="Гиперссылка 2 3 3 3" xfId="211" xr:uid="{00000000-0005-0000-0000-00003F000000}"/>
    <cellStyle name="Гиперссылка 2 3 3 4" xfId="213" xr:uid="{00000000-0005-0000-0000-000040000000}"/>
    <cellStyle name="Гиперссылка 2 3 3 5" xfId="215" xr:uid="{00000000-0005-0000-0000-000041000000}"/>
    <cellStyle name="Гиперссылка 2 3 4" xfId="217" xr:uid="{00000000-0005-0000-0000-000042000000}"/>
    <cellStyle name="Гиперссылка 2 3 5" xfId="52" xr:uid="{00000000-0005-0000-0000-000043000000}"/>
    <cellStyle name="Гиперссылка 2 3 6" xfId="219" xr:uid="{00000000-0005-0000-0000-000044000000}"/>
    <cellStyle name="Гиперссылка 2 3 7" xfId="220" xr:uid="{00000000-0005-0000-0000-000045000000}"/>
    <cellStyle name="Гиперссылка 2 4" xfId="222" xr:uid="{00000000-0005-0000-0000-000046000000}"/>
    <cellStyle name="Гиперссылка 2 4 2" xfId="224" xr:uid="{00000000-0005-0000-0000-000047000000}"/>
    <cellStyle name="Гиперссылка 2 4 2 2" xfId="38" xr:uid="{00000000-0005-0000-0000-000048000000}"/>
    <cellStyle name="Гиперссылка 2 4 2 3" xfId="226" xr:uid="{00000000-0005-0000-0000-000049000000}"/>
    <cellStyle name="Гиперссылка 2 4 2 4" xfId="228" xr:uid="{00000000-0005-0000-0000-00004A000000}"/>
    <cellStyle name="Гиперссылка 2 4 2 5" xfId="231" xr:uid="{00000000-0005-0000-0000-00004B000000}"/>
    <cellStyle name="Гиперссылка 2 4 3" xfId="54" xr:uid="{00000000-0005-0000-0000-00004C000000}"/>
    <cellStyle name="Гиперссылка 2 4 4" xfId="232" xr:uid="{00000000-0005-0000-0000-00004D000000}"/>
    <cellStyle name="Гиперссылка 2 4 5" xfId="233" xr:uid="{00000000-0005-0000-0000-00004E000000}"/>
    <cellStyle name="Гиперссылка 2 4 6" xfId="235" xr:uid="{00000000-0005-0000-0000-00004F000000}"/>
    <cellStyle name="Гиперссылка 2 5" xfId="237" xr:uid="{00000000-0005-0000-0000-000050000000}"/>
    <cellStyle name="Гиперссылка 2 5 2" xfId="242" xr:uid="{00000000-0005-0000-0000-000051000000}"/>
    <cellStyle name="Гиперссылка 2 5 2 2" xfId="244" xr:uid="{00000000-0005-0000-0000-000052000000}"/>
    <cellStyle name="Гиперссылка 2 5 2 3" xfId="246" xr:uid="{00000000-0005-0000-0000-000053000000}"/>
    <cellStyle name="Гиперссылка 2 5 2 4" xfId="248" xr:uid="{00000000-0005-0000-0000-000054000000}"/>
    <cellStyle name="Гиперссылка 2 5 2 5" xfId="250" xr:uid="{00000000-0005-0000-0000-000055000000}"/>
    <cellStyle name="Гиперссылка 2 5 3" xfId="252" xr:uid="{00000000-0005-0000-0000-000056000000}"/>
    <cellStyle name="Гиперссылка 2 5 4" xfId="254" xr:uid="{00000000-0005-0000-0000-000057000000}"/>
    <cellStyle name="Гиперссылка 2 5 5" xfId="256" xr:uid="{00000000-0005-0000-0000-000058000000}"/>
    <cellStyle name="Гиперссылка 2 5 6" xfId="259" xr:uid="{00000000-0005-0000-0000-000059000000}"/>
    <cellStyle name="Гиперссылка 2 6" xfId="261" xr:uid="{00000000-0005-0000-0000-00005A000000}"/>
    <cellStyle name="Гиперссылка 2 6 2" xfId="264" xr:uid="{00000000-0005-0000-0000-00005B000000}"/>
    <cellStyle name="Гиперссылка 2 6 3" xfId="266" xr:uid="{00000000-0005-0000-0000-00005C000000}"/>
    <cellStyle name="Гиперссылка 2 6 4" xfId="268" xr:uid="{00000000-0005-0000-0000-00005D000000}"/>
    <cellStyle name="Гиперссылка 2 6 5" xfId="270" xr:uid="{00000000-0005-0000-0000-00005E000000}"/>
    <cellStyle name="Гиперссылка 2 7" xfId="273" xr:uid="{00000000-0005-0000-0000-00005F000000}"/>
    <cellStyle name="Гиперссылка 2 8" xfId="275" xr:uid="{00000000-0005-0000-0000-000060000000}"/>
    <cellStyle name="Гиперссылка 2 9" xfId="277" xr:uid="{00000000-0005-0000-0000-000061000000}"/>
    <cellStyle name="Денежный" xfId="2" builtinId="4"/>
    <cellStyle name="Денежный 2" xfId="112" xr:uid="{00000000-0005-0000-0000-000063000000}"/>
    <cellStyle name="Денежный 2 2" xfId="278" xr:uid="{00000000-0005-0000-0000-000064000000}"/>
    <cellStyle name="Денежный 2 2 2" xfId="157" xr:uid="{00000000-0005-0000-0000-000065000000}"/>
    <cellStyle name="Обычный" xfId="0" builtinId="0"/>
    <cellStyle name="Обычный 10" xfId="279" xr:uid="{00000000-0005-0000-0000-000067000000}"/>
    <cellStyle name="Обычный 10 2" xfId="281" xr:uid="{00000000-0005-0000-0000-000068000000}"/>
    <cellStyle name="Обычный 11" xfId="282" xr:uid="{00000000-0005-0000-0000-000069000000}"/>
    <cellStyle name="Обычный 11 2" xfId="286" xr:uid="{00000000-0005-0000-0000-00006A000000}"/>
    <cellStyle name="Обычный 12" xfId="287" xr:uid="{00000000-0005-0000-0000-00006B000000}"/>
    <cellStyle name="Обычный 12 2" xfId="291" xr:uid="{00000000-0005-0000-0000-00006C000000}"/>
    <cellStyle name="Обычный 13" xfId="293" xr:uid="{00000000-0005-0000-0000-00006D000000}"/>
    <cellStyle name="Обычный 13 2" xfId="69" xr:uid="{00000000-0005-0000-0000-00006E000000}"/>
    <cellStyle name="Обычный 14" xfId="295" xr:uid="{00000000-0005-0000-0000-00006F000000}"/>
    <cellStyle name="Обычный 14 2" xfId="131" xr:uid="{00000000-0005-0000-0000-000070000000}"/>
    <cellStyle name="Обычный 15" xfId="298" xr:uid="{00000000-0005-0000-0000-000071000000}"/>
    <cellStyle name="Обычный 15 2" xfId="165" xr:uid="{00000000-0005-0000-0000-000072000000}"/>
    <cellStyle name="Обычный 16" xfId="301" xr:uid="{00000000-0005-0000-0000-000073000000}"/>
    <cellStyle name="Обычный 16 2" xfId="302" xr:uid="{00000000-0005-0000-0000-000074000000}"/>
    <cellStyle name="Обычный 17" xfId="303" xr:uid="{00000000-0005-0000-0000-000075000000}"/>
    <cellStyle name="Обычный 17 2" xfId="305" xr:uid="{00000000-0005-0000-0000-000076000000}"/>
    <cellStyle name="Обычный 18" xfId="306" xr:uid="{00000000-0005-0000-0000-000077000000}"/>
    <cellStyle name="Обычный 18 2" xfId="309" xr:uid="{00000000-0005-0000-0000-000078000000}"/>
    <cellStyle name="Обычный 19" xfId="19" xr:uid="{00000000-0005-0000-0000-000079000000}"/>
    <cellStyle name="Обычный 2" xfId="4" xr:uid="{00000000-0005-0000-0000-00007A000000}"/>
    <cellStyle name="Обычный 2 10" xfId="310" xr:uid="{00000000-0005-0000-0000-00007B000000}"/>
    <cellStyle name="Обычный 2 10 2" xfId="182" xr:uid="{00000000-0005-0000-0000-00007C000000}"/>
    <cellStyle name="Обычный 2 11" xfId="311" xr:uid="{00000000-0005-0000-0000-00007D000000}"/>
    <cellStyle name="Обычный 2 12" xfId="37" xr:uid="{00000000-0005-0000-0000-00007E000000}"/>
    <cellStyle name="Обычный 2 12 2" xfId="234" xr:uid="{00000000-0005-0000-0000-00007F000000}"/>
    <cellStyle name="Обычный 2 12 3" xfId="312" xr:uid="{00000000-0005-0000-0000-000080000000}"/>
    <cellStyle name="Обычный 2 13" xfId="225" xr:uid="{00000000-0005-0000-0000-000081000000}"/>
    <cellStyle name="Обычный 2 13 2" xfId="258" xr:uid="{00000000-0005-0000-0000-000082000000}"/>
    <cellStyle name="Обычный 2 14" xfId="227" xr:uid="{00000000-0005-0000-0000-000083000000}"/>
    <cellStyle name="Обычный 2 14 2" xfId="314" xr:uid="{00000000-0005-0000-0000-000084000000}"/>
    <cellStyle name="Обычный 2 15" xfId="229" xr:uid="{00000000-0005-0000-0000-000085000000}"/>
    <cellStyle name="Обычный 2 15 2" xfId="317" xr:uid="{00000000-0005-0000-0000-000086000000}"/>
    <cellStyle name="Обычный 2 16" xfId="319" xr:uid="{00000000-0005-0000-0000-000087000000}"/>
    <cellStyle name="Обычный 2 16 2" xfId="322" xr:uid="{00000000-0005-0000-0000-000088000000}"/>
    <cellStyle name="Обычный 2 17" xfId="325" xr:uid="{00000000-0005-0000-0000-000089000000}"/>
    <cellStyle name="Обычный 2 17 2" xfId="329" xr:uid="{00000000-0005-0000-0000-00008A000000}"/>
    <cellStyle name="Обычный 2 18" xfId="333" xr:uid="{00000000-0005-0000-0000-00008B000000}"/>
    <cellStyle name="Обычный 2 18 2" xfId="57" xr:uid="{00000000-0005-0000-0000-00008C000000}"/>
    <cellStyle name="Обычный 2 19" xfId="338" xr:uid="{00000000-0005-0000-0000-00008D000000}"/>
    <cellStyle name="Обычный 2 19 2" xfId="342" xr:uid="{00000000-0005-0000-0000-00008E000000}"/>
    <cellStyle name="Обычный 2 19 3" xfId="346" xr:uid="{00000000-0005-0000-0000-00008F000000}"/>
    <cellStyle name="Обычный 2 2" xfId="348" xr:uid="{00000000-0005-0000-0000-000090000000}"/>
    <cellStyle name="Обычный 2 2 10" xfId="353" xr:uid="{00000000-0005-0000-0000-000091000000}"/>
    <cellStyle name="Обычный 2 2 10 2" xfId="356" xr:uid="{00000000-0005-0000-0000-000092000000}"/>
    <cellStyle name="Обычный 2 2 10 3" xfId="359" xr:uid="{00000000-0005-0000-0000-000093000000}"/>
    <cellStyle name="Обычный 2 2 10 4" xfId="362" xr:uid="{00000000-0005-0000-0000-000094000000}"/>
    <cellStyle name="Обычный 2 2 11" xfId="93" xr:uid="{00000000-0005-0000-0000-000095000000}"/>
    <cellStyle name="Обычный 2 2 2" xfId="365" xr:uid="{00000000-0005-0000-0000-000096000000}"/>
    <cellStyle name="Обычный 2 2 2 2" xfId="366" xr:uid="{00000000-0005-0000-0000-000097000000}"/>
    <cellStyle name="Обычный 2 2 2 2 2" xfId="367" xr:uid="{00000000-0005-0000-0000-000098000000}"/>
    <cellStyle name="Обычный 2 2 2 2 2 2" xfId="71" xr:uid="{00000000-0005-0000-0000-000099000000}"/>
    <cellStyle name="Обычный 2 2 2 2 2 2 2" xfId="369" xr:uid="{00000000-0005-0000-0000-00009A000000}"/>
    <cellStyle name="Обычный 2 2 2 2 2 2 2 2" xfId="292" xr:uid="{00000000-0005-0000-0000-00009B000000}"/>
    <cellStyle name="Обычный 2 2 2 2 2 2 2 3" xfId="294" xr:uid="{00000000-0005-0000-0000-00009C000000}"/>
    <cellStyle name="Обычный 2 2 2 2 2 2 2 4" xfId="297" xr:uid="{00000000-0005-0000-0000-00009D000000}"/>
    <cellStyle name="Обычный 2 2 2 2 2 2 2 5" xfId="300" xr:uid="{00000000-0005-0000-0000-00009E000000}"/>
    <cellStyle name="Обычный 2 2 2 2 2 2 3" xfId="371" xr:uid="{00000000-0005-0000-0000-00009F000000}"/>
    <cellStyle name="Обычный 2 2 2 2 2 2 4" xfId="372" xr:uid="{00000000-0005-0000-0000-0000A0000000}"/>
    <cellStyle name="Обычный 2 2 2 2 2 2 5" xfId="373" xr:uid="{00000000-0005-0000-0000-0000A1000000}"/>
    <cellStyle name="Обычный 2 2 2 2 2 2 6" xfId="374" xr:uid="{00000000-0005-0000-0000-0000A2000000}"/>
    <cellStyle name="Обычный 2 2 2 2 2 3" xfId="75" xr:uid="{00000000-0005-0000-0000-0000A3000000}"/>
    <cellStyle name="Обычный 2 2 2 2 2 3 2" xfId="376" xr:uid="{00000000-0005-0000-0000-0000A4000000}"/>
    <cellStyle name="Обычный 2 2 2 2 2 3 3" xfId="191" xr:uid="{00000000-0005-0000-0000-0000A5000000}"/>
    <cellStyle name="Обычный 2 2 2 2 2 3 4" xfId="202" xr:uid="{00000000-0005-0000-0000-0000A6000000}"/>
    <cellStyle name="Обычный 2 2 2 2 2 3 5" xfId="204" xr:uid="{00000000-0005-0000-0000-0000A7000000}"/>
    <cellStyle name="Обычный 2 2 2 2 2 4" xfId="377" xr:uid="{00000000-0005-0000-0000-0000A8000000}"/>
    <cellStyle name="Обычный 2 2 2 2 2 5" xfId="378" xr:uid="{00000000-0005-0000-0000-0000A9000000}"/>
    <cellStyle name="Обычный 2 2 2 2 2 6" xfId="379" xr:uid="{00000000-0005-0000-0000-0000AA000000}"/>
    <cellStyle name="Обычный 2 2 2 2 2 7" xfId="380" xr:uid="{00000000-0005-0000-0000-0000AB000000}"/>
    <cellStyle name="Обычный 2 2 2 2 3" xfId="82" xr:uid="{00000000-0005-0000-0000-0000AC000000}"/>
    <cellStyle name="Обычный 2 2 2 2 3 2" xfId="42" xr:uid="{00000000-0005-0000-0000-0000AD000000}"/>
    <cellStyle name="Обычный 2 2 2 2 3 2 2" xfId="381" xr:uid="{00000000-0005-0000-0000-0000AE000000}"/>
    <cellStyle name="Обычный 2 2 2 2 3 2 3" xfId="382" xr:uid="{00000000-0005-0000-0000-0000AF000000}"/>
    <cellStyle name="Обычный 2 2 2 2 3 2 4" xfId="383" xr:uid="{00000000-0005-0000-0000-0000B0000000}"/>
    <cellStyle name="Обычный 2 2 2 2 3 2 5" xfId="384" xr:uid="{00000000-0005-0000-0000-0000B1000000}"/>
    <cellStyle name="Обычный 2 2 2 2 3 3" xfId="385" xr:uid="{00000000-0005-0000-0000-0000B2000000}"/>
    <cellStyle name="Обычный 2 2 2 2 3 4" xfId="386" xr:uid="{00000000-0005-0000-0000-0000B3000000}"/>
    <cellStyle name="Обычный 2 2 2 2 3 5" xfId="387" xr:uid="{00000000-0005-0000-0000-0000B4000000}"/>
    <cellStyle name="Обычный 2 2 2 2 3 6" xfId="388" xr:uid="{00000000-0005-0000-0000-0000B5000000}"/>
    <cellStyle name="Обычный 2 2 2 2 4" xfId="87" xr:uid="{00000000-0005-0000-0000-0000B6000000}"/>
    <cellStyle name="Обычный 2 2 2 2 4 2" xfId="390" xr:uid="{00000000-0005-0000-0000-0000B7000000}"/>
    <cellStyle name="Обычный 2 2 2 2 4 3" xfId="392" xr:uid="{00000000-0005-0000-0000-0000B8000000}"/>
    <cellStyle name="Обычный 2 2 2 2 4 4" xfId="394" xr:uid="{00000000-0005-0000-0000-0000B9000000}"/>
    <cellStyle name="Обычный 2 2 2 2 4 5" xfId="102" xr:uid="{00000000-0005-0000-0000-0000BA000000}"/>
    <cellStyle name="Обычный 2 2 2 2 5" xfId="107" xr:uid="{00000000-0005-0000-0000-0000BB000000}"/>
    <cellStyle name="Обычный 2 2 2 2 6" xfId="111" xr:uid="{00000000-0005-0000-0000-0000BC000000}"/>
    <cellStyle name="Обычный 2 2 2 2 7" xfId="398" xr:uid="{00000000-0005-0000-0000-0000BD000000}"/>
    <cellStyle name="Обычный 2 2 2 2 8" xfId="402" xr:uid="{00000000-0005-0000-0000-0000BE000000}"/>
    <cellStyle name="Обычный 2 2 2 3" xfId="403" xr:uid="{00000000-0005-0000-0000-0000BF000000}"/>
    <cellStyle name="Обычный 2 2 2 3 2" xfId="404" xr:uid="{00000000-0005-0000-0000-0000C0000000}"/>
    <cellStyle name="Обычный 2 2 3" xfId="407" xr:uid="{00000000-0005-0000-0000-0000C1000000}"/>
    <cellStyle name="Обычный 2 2 3 2" xfId="408" xr:uid="{00000000-0005-0000-0000-0000C2000000}"/>
    <cellStyle name="Обычный 2 2 4" xfId="241" xr:uid="{00000000-0005-0000-0000-0000C3000000}"/>
    <cellStyle name="Обычный 2 2 4 2" xfId="243" xr:uid="{00000000-0005-0000-0000-0000C4000000}"/>
    <cellStyle name="Обычный 2 2 4 2 2" xfId="409" xr:uid="{00000000-0005-0000-0000-0000C5000000}"/>
    <cellStyle name="Обычный 2 2 4 2 2 2" xfId="135" xr:uid="{00000000-0005-0000-0000-0000C6000000}"/>
    <cellStyle name="Обычный 2 2 4 2 2 2 2" xfId="137" xr:uid="{00000000-0005-0000-0000-0000C7000000}"/>
    <cellStyle name="Обычный 2 2 4 2 2 2 3" xfId="150" xr:uid="{00000000-0005-0000-0000-0000C8000000}"/>
    <cellStyle name="Обычный 2 2 4 2 2 2 4" xfId="154" xr:uid="{00000000-0005-0000-0000-0000C9000000}"/>
    <cellStyle name="Обычный 2 2 4 2 2 2 5" xfId="162" xr:uid="{00000000-0005-0000-0000-0000CA000000}"/>
    <cellStyle name="Обычный 2 2 4 2 2 3" xfId="167" xr:uid="{00000000-0005-0000-0000-0000CB000000}"/>
    <cellStyle name="Обычный 2 2 4 2 2 4" xfId="179" xr:uid="{00000000-0005-0000-0000-0000CC000000}"/>
    <cellStyle name="Обычный 2 2 4 2 2 5" xfId="181" xr:uid="{00000000-0005-0000-0000-0000CD000000}"/>
    <cellStyle name="Обычный 2 2 4 2 2 6" xfId="184" xr:uid="{00000000-0005-0000-0000-0000CE000000}"/>
    <cellStyle name="Обычный 2 2 4 2 3" xfId="410" xr:uid="{00000000-0005-0000-0000-0000CF000000}"/>
    <cellStyle name="Обычный 2 2 4 2 3 2" xfId="208" xr:uid="{00000000-0005-0000-0000-0000D0000000}"/>
    <cellStyle name="Обычный 2 2 4 2 3 3" xfId="216" xr:uid="{00000000-0005-0000-0000-0000D1000000}"/>
    <cellStyle name="Обычный 2 2 4 2 3 4" xfId="51" xr:uid="{00000000-0005-0000-0000-0000D2000000}"/>
    <cellStyle name="Обычный 2 2 4 2 3 5" xfId="218" xr:uid="{00000000-0005-0000-0000-0000D3000000}"/>
    <cellStyle name="Обычный 2 2 4 2 4" xfId="412" xr:uid="{00000000-0005-0000-0000-0000D4000000}"/>
    <cellStyle name="Обычный 2 2 4 2 5" xfId="308" xr:uid="{00000000-0005-0000-0000-0000D5000000}"/>
    <cellStyle name="Обычный 2 2 4 2 6" xfId="414" xr:uid="{00000000-0005-0000-0000-0000D6000000}"/>
    <cellStyle name="Обычный 2 2 4 2 7" xfId="352" xr:uid="{00000000-0005-0000-0000-0000D7000000}"/>
    <cellStyle name="Обычный 2 2 4 3" xfId="245" xr:uid="{00000000-0005-0000-0000-0000D8000000}"/>
    <cellStyle name="Обычный 2 2 4 3 2" xfId="415" xr:uid="{00000000-0005-0000-0000-0000D9000000}"/>
    <cellStyle name="Обычный 2 2 4 3 2 2" xfId="417" xr:uid="{00000000-0005-0000-0000-0000DA000000}"/>
    <cellStyle name="Обычный 2 2 4 3 2 3" xfId="420" xr:uid="{00000000-0005-0000-0000-0000DB000000}"/>
    <cellStyle name="Обычный 2 2 4 3 2 4" xfId="423" xr:uid="{00000000-0005-0000-0000-0000DC000000}"/>
    <cellStyle name="Обычный 2 2 4 3 2 5" xfId="425" xr:uid="{00000000-0005-0000-0000-0000DD000000}"/>
    <cellStyle name="Обычный 2 2 4 3 3" xfId="426" xr:uid="{00000000-0005-0000-0000-0000DE000000}"/>
    <cellStyle name="Обычный 2 2 4 3 4" xfId="427" xr:uid="{00000000-0005-0000-0000-0000DF000000}"/>
    <cellStyle name="Обычный 2 2 4 3 5" xfId="60" xr:uid="{00000000-0005-0000-0000-0000E0000000}"/>
    <cellStyle name="Обычный 2 2 4 3 6" xfId="49" xr:uid="{00000000-0005-0000-0000-0000E1000000}"/>
    <cellStyle name="Обычный 2 2 4 4" xfId="247" xr:uid="{00000000-0005-0000-0000-0000E2000000}"/>
    <cellStyle name="Обычный 2 2 4 4 2" xfId="27" xr:uid="{00000000-0005-0000-0000-0000E3000000}"/>
    <cellStyle name="Обычный 2 2 4 4 3" xfId="431" xr:uid="{00000000-0005-0000-0000-0000E4000000}"/>
    <cellStyle name="Обычный 2 2 4 4 4" xfId="434" xr:uid="{00000000-0005-0000-0000-0000E5000000}"/>
    <cellStyle name="Обычный 2 2 4 4 5" xfId="437" xr:uid="{00000000-0005-0000-0000-0000E6000000}"/>
    <cellStyle name="Обычный 2 2 4 5" xfId="249" xr:uid="{00000000-0005-0000-0000-0000E7000000}"/>
    <cellStyle name="Обычный 2 2 4 6" xfId="438" xr:uid="{00000000-0005-0000-0000-0000E8000000}"/>
    <cellStyle name="Обычный 2 2 4 7" xfId="223" xr:uid="{00000000-0005-0000-0000-0000E9000000}"/>
    <cellStyle name="Обычный 2 2 4 8" xfId="53" xr:uid="{00000000-0005-0000-0000-0000EA000000}"/>
    <cellStyle name="Обычный 2 2 5" xfId="251" xr:uid="{00000000-0005-0000-0000-0000EB000000}"/>
    <cellStyle name="Обычный 2 2 5 2" xfId="440" xr:uid="{00000000-0005-0000-0000-0000EC000000}"/>
    <cellStyle name="Обычный 2 2 5 2 2" xfId="442" xr:uid="{00000000-0005-0000-0000-0000ED000000}"/>
    <cellStyle name="Обычный 2 2 5 2 2 2" xfId="444" xr:uid="{00000000-0005-0000-0000-0000EE000000}"/>
    <cellStyle name="Обычный 2 2 5 2 2 3" xfId="446" xr:uid="{00000000-0005-0000-0000-0000EF000000}"/>
    <cellStyle name="Обычный 2 2 5 2 2 4" xfId="170" xr:uid="{00000000-0005-0000-0000-0000F0000000}"/>
    <cellStyle name="Обычный 2 2 5 2 2 5" xfId="174" xr:uid="{00000000-0005-0000-0000-0000F1000000}"/>
    <cellStyle name="Обычный 2 2 5 2 3" xfId="448" xr:uid="{00000000-0005-0000-0000-0000F2000000}"/>
    <cellStyle name="Обычный 2 2 5 2 4" xfId="450" xr:uid="{00000000-0005-0000-0000-0000F3000000}"/>
    <cellStyle name="Обычный 2 2 5 2 5" xfId="452" xr:uid="{00000000-0005-0000-0000-0000F4000000}"/>
    <cellStyle name="Обычный 2 2 5 2 6" xfId="454" xr:uid="{00000000-0005-0000-0000-0000F5000000}"/>
    <cellStyle name="Обычный 2 2 5 3" xfId="456" xr:uid="{00000000-0005-0000-0000-0000F6000000}"/>
    <cellStyle name="Обычный 2 2 5 3 2" xfId="458" xr:uid="{00000000-0005-0000-0000-0000F7000000}"/>
    <cellStyle name="Обычный 2 2 5 3 3" xfId="460" xr:uid="{00000000-0005-0000-0000-0000F8000000}"/>
    <cellStyle name="Обычный 2 2 5 3 4" xfId="461" xr:uid="{00000000-0005-0000-0000-0000F9000000}"/>
    <cellStyle name="Обычный 2 2 5 3 5" xfId="462" xr:uid="{00000000-0005-0000-0000-0000FA000000}"/>
    <cellStyle name="Обычный 2 2 5 4" xfId="464" xr:uid="{00000000-0005-0000-0000-0000FB000000}"/>
    <cellStyle name="Обычный 2 2 5 5" xfId="364" xr:uid="{00000000-0005-0000-0000-0000FC000000}"/>
    <cellStyle name="Обычный 2 2 5 6" xfId="406" xr:uid="{00000000-0005-0000-0000-0000FD000000}"/>
    <cellStyle name="Обычный 2 2 5 7" xfId="240" xr:uid="{00000000-0005-0000-0000-0000FE000000}"/>
    <cellStyle name="Обычный 2 2 6" xfId="253" xr:uid="{00000000-0005-0000-0000-0000FF000000}"/>
    <cellStyle name="Обычный 2 2 6 2" xfId="86" xr:uid="{00000000-0005-0000-0000-000000010000}"/>
    <cellStyle name="Обычный 2 2 6 2 2" xfId="389" xr:uid="{00000000-0005-0000-0000-000001010000}"/>
    <cellStyle name="Обычный 2 2 6 2 3" xfId="391" xr:uid="{00000000-0005-0000-0000-000002010000}"/>
    <cellStyle name="Обычный 2 2 6 2 4" xfId="393" xr:uid="{00000000-0005-0000-0000-000003010000}"/>
    <cellStyle name="Обычный 2 2 6 2 5" xfId="100" xr:uid="{00000000-0005-0000-0000-000004010000}"/>
    <cellStyle name="Обычный 2 2 6 3" xfId="106" xr:uid="{00000000-0005-0000-0000-000005010000}"/>
    <cellStyle name="Обычный 2 2 6 4" xfId="110" xr:uid="{00000000-0005-0000-0000-000006010000}"/>
    <cellStyle name="Обычный 2 2 6 5" xfId="396" xr:uid="{00000000-0005-0000-0000-000007010000}"/>
    <cellStyle name="Обычный 2 2 6 6" xfId="400" xr:uid="{00000000-0005-0000-0000-000008010000}"/>
    <cellStyle name="Обычный 2 2 7" xfId="255" xr:uid="{00000000-0005-0000-0000-000009010000}"/>
    <cellStyle name="Обычный 2 2 7 2" xfId="465" xr:uid="{00000000-0005-0000-0000-00000A010000}"/>
    <cellStyle name="Обычный 2 2 7 2 2" xfId="468" xr:uid="{00000000-0005-0000-0000-00000B010000}"/>
    <cellStyle name="Обычный 2 2 7 2 3" xfId="285" xr:uid="{00000000-0005-0000-0000-00000C010000}"/>
    <cellStyle name="Обычный 2 2 7 2 4" xfId="473" xr:uid="{00000000-0005-0000-0000-00000D010000}"/>
    <cellStyle name="Обычный 2 2 7 2 5" xfId="141" xr:uid="{00000000-0005-0000-0000-00000E010000}"/>
    <cellStyle name="Обычный 2 2 7 3" xfId="474" xr:uid="{00000000-0005-0000-0000-00000F010000}"/>
    <cellStyle name="Обычный 2 2 7 4" xfId="280" xr:uid="{00000000-0005-0000-0000-000010010000}"/>
    <cellStyle name="Обычный 2 2 7 5" xfId="476" xr:uid="{00000000-0005-0000-0000-000011010000}"/>
    <cellStyle name="Обычный 2 2 7 6" xfId="478" xr:uid="{00000000-0005-0000-0000-000012010000}"/>
    <cellStyle name="Обычный 2 2 8" xfId="257" xr:uid="{00000000-0005-0000-0000-000013010000}"/>
    <cellStyle name="Обычный 2 2 8 2" xfId="479" xr:uid="{00000000-0005-0000-0000-000014010000}"/>
    <cellStyle name="Обычный 2 2 8 2 2" xfId="482" xr:uid="{00000000-0005-0000-0000-000015010000}"/>
    <cellStyle name="Обычный 2 2 8 2 3" xfId="485" xr:uid="{00000000-0005-0000-0000-000016010000}"/>
    <cellStyle name="Обычный 2 2 8 2 4" xfId="488" xr:uid="{00000000-0005-0000-0000-000017010000}"/>
    <cellStyle name="Обычный 2 2 8 2 5" xfId="491" xr:uid="{00000000-0005-0000-0000-000018010000}"/>
    <cellStyle name="Обычный 2 2 8 3" xfId="466" xr:uid="{00000000-0005-0000-0000-000019010000}"/>
    <cellStyle name="Обычный 2 2 8 4" xfId="283" xr:uid="{00000000-0005-0000-0000-00001A010000}"/>
    <cellStyle name="Обычный 2 2 8 5" xfId="469" xr:uid="{00000000-0005-0000-0000-00001B010000}"/>
    <cellStyle name="Обычный 2 2 8 6" xfId="140" xr:uid="{00000000-0005-0000-0000-00001C010000}"/>
    <cellStyle name="Обычный 2 2 9" xfId="492" xr:uid="{00000000-0005-0000-0000-00001D010000}"/>
    <cellStyle name="Обычный 2 2 9 2" xfId="493" xr:uid="{00000000-0005-0000-0000-00001E010000}"/>
    <cellStyle name="Обычный 2 2 9 3" xfId="79" xr:uid="{00000000-0005-0000-0000-00001F010000}"/>
    <cellStyle name="Обычный 2 2 9 4" xfId="288" xr:uid="{00000000-0005-0000-0000-000020010000}"/>
    <cellStyle name="Обычный 2 2 9 5" xfId="496" xr:uid="{00000000-0005-0000-0000-000021010000}"/>
    <cellStyle name="Обычный 2 20" xfId="230" xr:uid="{00000000-0005-0000-0000-000022010000}"/>
    <cellStyle name="Обычный 2 20 2" xfId="318" xr:uid="{00000000-0005-0000-0000-000023010000}"/>
    <cellStyle name="Обычный 2 21" xfId="320" xr:uid="{00000000-0005-0000-0000-000024010000}"/>
    <cellStyle name="Обычный 2 21 2" xfId="323" xr:uid="{00000000-0005-0000-0000-000025010000}"/>
    <cellStyle name="Обычный 2 22" xfId="326" xr:uid="{00000000-0005-0000-0000-000026010000}"/>
    <cellStyle name="Обычный 2 22 2" xfId="330" xr:uid="{00000000-0005-0000-0000-000027010000}"/>
    <cellStyle name="Обычный 2 23" xfId="334" xr:uid="{00000000-0005-0000-0000-000028010000}"/>
    <cellStyle name="Обычный 2 24" xfId="339" xr:uid="{00000000-0005-0000-0000-000029010000}"/>
    <cellStyle name="Обычный 2 25" xfId="500" xr:uid="{00000000-0005-0000-0000-00002A010000}"/>
    <cellStyle name="Обычный 2 26" xfId="504" xr:uid="{00000000-0005-0000-0000-00002B010000}"/>
    <cellStyle name="Обычный 2 27" xfId="506" xr:uid="{00000000-0005-0000-0000-00002C010000}"/>
    <cellStyle name="Обычный 2 28" xfId="508" xr:uid="{00000000-0005-0000-0000-00002D010000}"/>
    <cellStyle name="Обычный 2 29" xfId="156" xr:uid="{00000000-0005-0000-0000-00002E010000}"/>
    <cellStyle name="Обычный 2 3" xfId="509" xr:uid="{00000000-0005-0000-0000-00002F010000}"/>
    <cellStyle name="Обычный 2 3 10" xfId="324" xr:uid="{00000000-0005-0000-0000-000030010000}"/>
    <cellStyle name="Обычный 2 3 10 2" xfId="328" xr:uid="{00000000-0005-0000-0000-000031010000}"/>
    <cellStyle name="Обычный 2 3 11" xfId="332" xr:uid="{00000000-0005-0000-0000-000032010000}"/>
    <cellStyle name="Обычный 2 3 11 2" xfId="56" xr:uid="{00000000-0005-0000-0000-000033010000}"/>
    <cellStyle name="Обычный 2 3 12" xfId="336" xr:uid="{00000000-0005-0000-0000-000034010000}"/>
    <cellStyle name="Обычный 2 3 12 2" xfId="340" xr:uid="{00000000-0005-0000-0000-000035010000}"/>
    <cellStyle name="Обычный 2 3 13" xfId="498" xr:uid="{00000000-0005-0000-0000-000036010000}"/>
    <cellStyle name="Обычный 2 3 13 2" xfId="514" xr:uid="{00000000-0005-0000-0000-000037010000}"/>
    <cellStyle name="Обычный 2 3 14" xfId="502" xr:uid="{00000000-0005-0000-0000-000038010000}"/>
    <cellStyle name="Обычный 2 3 14 2" xfId="188" xr:uid="{00000000-0005-0000-0000-000039010000}"/>
    <cellStyle name="Обычный 2 3 2" xfId="395" xr:uid="{00000000-0005-0000-0000-00003A010000}"/>
    <cellStyle name="Обычный 2 3 2 2" xfId="515" xr:uid="{00000000-0005-0000-0000-00003B010000}"/>
    <cellStyle name="Обычный 2 3 2 2 2" xfId="212" xr:uid="{00000000-0005-0000-0000-00003C010000}"/>
    <cellStyle name="Обычный 2 3 3" xfId="399" xr:uid="{00000000-0005-0000-0000-00003D010000}"/>
    <cellStyle name="Обычный 2 3 3 2" xfId="516" xr:uid="{00000000-0005-0000-0000-00003E010000}"/>
    <cellStyle name="Обычный 2 3 4" xfId="262" xr:uid="{00000000-0005-0000-0000-00003F010000}"/>
    <cellStyle name="Обычный 2 3 5" xfId="265" xr:uid="{00000000-0005-0000-0000-000040010000}"/>
    <cellStyle name="Обычный 2 3 5 2" xfId="517" xr:uid="{00000000-0005-0000-0000-000041010000}"/>
    <cellStyle name="Обычный 2 3 5 3" xfId="518" xr:uid="{00000000-0005-0000-0000-000042010000}"/>
    <cellStyle name="Обычный 2 3 6" xfId="267" xr:uid="{00000000-0005-0000-0000-000043010000}"/>
    <cellStyle name="Обычный 2 3 6 2" xfId="519" xr:uid="{00000000-0005-0000-0000-000044010000}"/>
    <cellStyle name="Обычный 2 3 7" xfId="269" xr:uid="{00000000-0005-0000-0000-000045010000}"/>
    <cellStyle name="Обычный 2 3 7 2" xfId="520" xr:uid="{00000000-0005-0000-0000-000046010000}"/>
    <cellStyle name="Обычный 2 3 8" xfId="313" xr:uid="{00000000-0005-0000-0000-000047010000}"/>
    <cellStyle name="Обычный 2 3 9" xfId="521" xr:uid="{00000000-0005-0000-0000-000048010000}"/>
    <cellStyle name="Обычный 2 3 9 2" xfId="271" xr:uid="{00000000-0005-0000-0000-000049010000}"/>
    <cellStyle name="Обычный 2 30" xfId="1655" xr:uid="{00000000-0005-0000-0000-00004A010000}"/>
    <cellStyle name="Обычный 2 4" xfId="1" xr:uid="{00000000-0005-0000-0000-00004B010000}"/>
    <cellStyle name="Обычный 2 4 2" xfId="475" xr:uid="{00000000-0005-0000-0000-00004C010000}"/>
    <cellStyle name="Обычный 2 4 2 2" xfId="129" xr:uid="{00000000-0005-0000-0000-00004D010000}"/>
    <cellStyle name="Обычный 2 4 3" xfId="477" xr:uid="{00000000-0005-0000-0000-00004E010000}"/>
    <cellStyle name="Обычный 2 4 4" xfId="522" xr:uid="{00000000-0005-0000-0000-00004F010000}"/>
    <cellStyle name="Обычный 2 5" xfId="523" xr:uid="{00000000-0005-0000-0000-000050010000}"/>
    <cellStyle name="Обычный 2 5 2" xfId="472" xr:uid="{00000000-0005-0000-0000-000051010000}"/>
    <cellStyle name="Обычный 2 5 3" xfId="139" xr:uid="{00000000-0005-0000-0000-000052010000}"/>
    <cellStyle name="Обычный 2 5 3 2" xfId="214" xr:uid="{00000000-0005-0000-0000-000053010000}"/>
    <cellStyle name="Обычный 2 5 4" xfId="144" xr:uid="{00000000-0005-0000-0000-000054010000}"/>
    <cellStyle name="Обычный 2 6" xfId="524" xr:uid="{00000000-0005-0000-0000-000055010000}"/>
    <cellStyle name="Обычный 2 6 2" xfId="495" xr:uid="{00000000-0005-0000-0000-000056010000}"/>
    <cellStyle name="Обычный 2 6 3" xfId="525" xr:uid="{00000000-0005-0000-0000-000057010000}"/>
    <cellStyle name="Обычный 2 6 3 2" xfId="526" xr:uid="{00000000-0005-0000-0000-000058010000}"/>
    <cellStyle name="Обычный 2 7" xfId="55" xr:uid="{00000000-0005-0000-0000-000059010000}"/>
    <cellStyle name="Обычный 2 7 2" xfId="73" xr:uid="{00000000-0005-0000-0000-00005A010000}"/>
    <cellStyle name="Обычный 2 7 3" xfId="347" xr:uid="{00000000-0005-0000-0000-00005B010000}"/>
    <cellStyle name="Обычный 2 8" xfId="527" xr:uid="{00000000-0005-0000-0000-00005C010000}"/>
    <cellStyle name="Обычный 2 8 2" xfId="133" xr:uid="{00000000-0005-0000-0000-00005D010000}"/>
    <cellStyle name="Обычный 2 9" xfId="528" xr:uid="{00000000-0005-0000-0000-00005E010000}"/>
    <cellStyle name="Обычный 2 9 2" xfId="529" xr:uid="{00000000-0005-0000-0000-00005F010000}"/>
    <cellStyle name="Обычный 20" xfId="18" xr:uid="{00000000-0005-0000-0000-000060010000}"/>
    <cellStyle name="Обычный 21" xfId="1641" xr:uid="{00000000-0005-0000-0000-000061010000}"/>
    <cellStyle name="Обычный 22" xfId="1650" xr:uid="{00000000-0005-0000-0000-000062010000}"/>
    <cellStyle name="Обычный 23" xfId="1660" xr:uid="{00000000-0005-0000-0000-000063010000}"/>
    <cellStyle name="Обычный 24" xfId="1661" xr:uid="{00000000-0005-0000-0000-000064010000}"/>
    <cellStyle name="Обычный 3" xfId="17" xr:uid="{00000000-0005-0000-0000-000065010000}"/>
    <cellStyle name="Обычный 3 2" xfId="531" xr:uid="{00000000-0005-0000-0000-000066010000}"/>
    <cellStyle name="Обычный 3 2 2" xfId="532" xr:uid="{00000000-0005-0000-0000-000067010000}"/>
    <cellStyle name="Обычный 3 2 2 2" xfId="484" xr:uid="{00000000-0005-0000-0000-000068010000}"/>
    <cellStyle name="Обычный 3 2 2 3" xfId="487" xr:uid="{00000000-0005-0000-0000-000069010000}"/>
    <cellStyle name="Обычный 3 2 2 4" xfId="489" xr:uid="{00000000-0005-0000-0000-00006A010000}"/>
    <cellStyle name="Обычный 3 2 2 5" xfId="533" xr:uid="{00000000-0005-0000-0000-00006B010000}"/>
    <cellStyle name="Обычный 3 2 3" xfId="534" xr:uid="{00000000-0005-0000-0000-00006C010000}"/>
    <cellStyle name="Обычный 3 2 4" xfId="535" xr:uid="{00000000-0005-0000-0000-00006D010000}"/>
    <cellStyle name="Обычный 3 2 5" xfId="536" xr:uid="{00000000-0005-0000-0000-00006E010000}"/>
    <cellStyle name="Обычный 3 2 6" xfId="537" xr:uid="{00000000-0005-0000-0000-00006F010000}"/>
    <cellStyle name="Обычный 3 3" xfId="538" xr:uid="{00000000-0005-0000-0000-000070010000}"/>
    <cellStyle name="Обычный 3 3 2" xfId="539" xr:uid="{00000000-0005-0000-0000-000071010000}"/>
    <cellStyle name="Обычный 3 4" xfId="540" xr:uid="{00000000-0005-0000-0000-000072010000}"/>
    <cellStyle name="Обычный 3 4 2" xfId="542" xr:uid="{00000000-0005-0000-0000-000073010000}"/>
    <cellStyle name="Обычный 3 5" xfId="543" xr:uid="{00000000-0005-0000-0000-000074010000}"/>
    <cellStyle name="Обычный 3 5 2" xfId="486" xr:uid="{00000000-0005-0000-0000-000075010000}"/>
    <cellStyle name="Обычный 3 6" xfId="160" xr:uid="{00000000-0005-0000-0000-000076010000}"/>
    <cellStyle name="Обычный 3 7" xfId="1645" xr:uid="{00000000-0005-0000-0000-000077010000}"/>
    <cellStyle name="Обычный 3 8" xfId="1656" xr:uid="{00000000-0005-0000-0000-000078010000}"/>
    <cellStyle name="Обычный 4" xfId="164" xr:uid="{00000000-0005-0000-0000-000079010000}"/>
    <cellStyle name="Обычный 4 10" xfId="1657" xr:uid="{00000000-0005-0000-0000-00007A010000}"/>
    <cellStyle name="Обычный 4 2" xfId="545" xr:uid="{00000000-0005-0000-0000-00007B010000}"/>
    <cellStyle name="Обычный 4 2 10" xfId="546" xr:uid="{00000000-0005-0000-0000-00007C010000}"/>
    <cellStyle name="Обычный 4 2 2" xfId="548" xr:uid="{00000000-0005-0000-0000-00007D010000}"/>
    <cellStyle name="Обычный 4 2 3" xfId="551" xr:uid="{00000000-0005-0000-0000-00007E010000}"/>
    <cellStyle name="Обычный 4 2 3 2" xfId="115" xr:uid="{00000000-0005-0000-0000-00007F010000}"/>
    <cellStyle name="Обычный 4 2 3 2 2" xfId="553" xr:uid="{00000000-0005-0000-0000-000080010000}"/>
    <cellStyle name="Обычный 4 2 3 2 2 2" xfId="554" xr:uid="{00000000-0005-0000-0000-000081010000}"/>
    <cellStyle name="Обычный 4 2 3 2 2 3" xfId="555" xr:uid="{00000000-0005-0000-0000-000082010000}"/>
    <cellStyle name="Обычный 4 2 3 2 2 4" xfId="541" xr:uid="{00000000-0005-0000-0000-000083010000}"/>
    <cellStyle name="Обычный 4 2 3 2 2 5" xfId="557" xr:uid="{00000000-0005-0000-0000-000084010000}"/>
    <cellStyle name="Обычный 4 2 3 2 3" xfId="480" xr:uid="{00000000-0005-0000-0000-000085010000}"/>
    <cellStyle name="Обычный 4 2 3 2 4" xfId="467" xr:uid="{00000000-0005-0000-0000-000086010000}"/>
    <cellStyle name="Обычный 4 2 3 2 5" xfId="284" xr:uid="{00000000-0005-0000-0000-000087010000}"/>
    <cellStyle name="Обычный 4 2 3 2 6" xfId="470" xr:uid="{00000000-0005-0000-0000-000088010000}"/>
    <cellStyle name="Обычный 4 2 3 3" xfId="117" xr:uid="{00000000-0005-0000-0000-000089010000}"/>
    <cellStyle name="Обычный 4 2 3 3 2" xfId="558" xr:uid="{00000000-0005-0000-0000-00008A010000}"/>
    <cellStyle name="Обычный 4 2 3 3 3" xfId="494" xr:uid="{00000000-0005-0000-0000-00008B010000}"/>
    <cellStyle name="Обычный 4 2 3 3 4" xfId="80" xr:uid="{00000000-0005-0000-0000-00008C010000}"/>
    <cellStyle name="Обычный 4 2 3 3 5" xfId="289" xr:uid="{00000000-0005-0000-0000-00008D010000}"/>
    <cellStyle name="Обычный 4 2 3 4" xfId="119" xr:uid="{00000000-0005-0000-0000-00008E010000}"/>
    <cellStyle name="Обычный 4 2 3 5" xfId="559" xr:uid="{00000000-0005-0000-0000-00008F010000}"/>
    <cellStyle name="Обычный 4 2 3 6" xfId="560" xr:uid="{00000000-0005-0000-0000-000090010000}"/>
    <cellStyle name="Обычный 4 2 3 7" xfId="561" xr:uid="{00000000-0005-0000-0000-000091010000}"/>
    <cellStyle name="Обычный 4 2 4" xfId="35" xr:uid="{00000000-0005-0000-0000-000092010000}"/>
    <cellStyle name="Обычный 4 2 4 2" xfId="124" xr:uid="{00000000-0005-0000-0000-000093010000}"/>
    <cellStyle name="Обычный 4 2 4 2 2" xfId="562" xr:uid="{00000000-0005-0000-0000-000094010000}"/>
    <cellStyle name="Обычный 4 2 4 2 3" xfId="563" xr:uid="{00000000-0005-0000-0000-000095010000}"/>
    <cellStyle name="Обычный 4 2 4 2 4" xfId="481" xr:uid="{00000000-0005-0000-0000-000096010000}"/>
    <cellStyle name="Обычный 4 2 4 2 5" xfId="483" xr:uid="{00000000-0005-0000-0000-000097010000}"/>
    <cellStyle name="Обычный 4 2 4 3" xfId="126" xr:uid="{00000000-0005-0000-0000-000098010000}"/>
    <cellStyle name="Обычный 4 2 4 4" xfId="564" xr:uid="{00000000-0005-0000-0000-000099010000}"/>
    <cellStyle name="Обычный 4 2 4 5" xfId="565" xr:uid="{00000000-0005-0000-0000-00009A010000}"/>
    <cellStyle name="Обычный 4 2 4 6" xfId="566" xr:uid="{00000000-0005-0000-0000-00009B010000}"/>
    <cellStyle name="Обычный 4 2 5" xfId="195" xr:uid="{00000000-0005-0000-0000-00009C010000}"/>
    <cellStyle name="Обычный 4 2 5 2" xfId="568" xr:uid="{00000000-0005-0000-0000-00009D010000}"/>
    <cellStyle name="Обычный 4 2 5 2 2" xfId="430" xr:uid="{00000000-0005-0000-0000-00009E010000}"/>
    <cellStyle name="Обычный 4 2 5 2 3" xfId="433" xr:uid="{00000000-0005-0000-0000-00009F010000}"/>
    <cellStyle name="Обычный 4 2 5 2 4" xfId="436" xr:uid="{00000000-0005-0000-0000-0000A0010000}"/>
    <cellStyle name="Обычный 4 2 5 2 5" xfId="570" xr:uid="{00000000-0005-0000-0000-0000A1010000}"/>
    <cellStyle name="Обычный 4 2 5 3" xfId="26" xr:uid="{00000000-0005-0000-0000-0000A2010000}"/>
    <cellStyle name="Обычный 4 2 5 4" xfId="572" xr:uid="{00000000-0005-0000-0000-0000A3010000}"/>
    <cellStyle name="Обычный 4 2 5 5" xfId="574" xr:uid="{00000000-0005-0000-0000-0000A4010000}"/>
    <cellStyle name="Обычный 4 2 5 6" xfId="576" xr:uid="{00000000-0005-0000-0000-0000A5010000}"/>
    <cellStyle name="Обычный 4 2 6" xfId="198" xr:uid="{00000000-0005-0000-0000-0000A6010000}"/>
    <cellStyle name="Обычный 4 2 6 2" xfId="578" xr:uid="{00000000-0005-0000-0000-0000A7010000}"/>
    <cellStyle name="Обычный 4 2 6 3" xfId="418" xr:uid="{00000000-0005-0000-0000-0000A8010000}"/>
    <cellStyle name="Обычный 4 2 6 4" xfId="421" xr:uid="{00000000-0005-0000-0000-0000A9010000}"/>
    <cellStyle name="Обычный 4 2 6 5" xfId="424" xr:uid="{00000000-0005-0000-0000-0000AA010000}"/>
    <cellStyle name="Обычный 4 2 7" xfId="200" xr:uid="{00000000-0005-0000-0000-0000AB010000}"/>
    <cellStyle name="Обычный 4 2 8" xfId="368" xr:uid="{00000000-0005-0000-0000-0000AC010000}"/>
    <cellStyle name="Обычный 4 2 9" xfId="370" xr:uid="{00000000-0005-0000-0000-0000AD010000}"/>
    <cellStyle name="Обычный 4 3" xfId="580" xr:uid="{00000000-0005-0000-0000-0000AE010000}"/>
    <cellStyle name="Обычный 4 3 2" xfId="350" xr:uid="{00000000-0005-0000-0000-0000AF010000}"/>
    <cellStyle name="Обычный 4 3 2 2" xfId="355" xr:uid="{00000000-0005-0000-0000-0000B0010000}"/>
    <cellStyle name="Обычный 4 3 2 2 2" xfId="581" xr:uid="{00000000-0005-0000-0000-0000B1010000}"/>
    <cellStyle name="Обычный 4 3 2 2 2 2" xfId="331" xr:uid="{00000000-0005-0000-0000-0000B2010000}"/>
    <cellStyle name="Обычный 4 3 2 2 2 3" xfId="335" xr:uid="{00000000-0005-0000-0000-0000B3010000}"/>
    <cellStyle name="Обычный 4 3 2 2 2 4" xfId="497" xr:uid="{00000000-0005-0000-0000-0000B4010000}"/>
    <cellStyle name="Обычный 4 3 2 2 2 5" xfId="501" xr:uid="{00000000-0005-0000-0000-0000B5010000}"/>
    <cellStyle name="Обычный 4 3 2 2 3" xfId="304" xr:uid="{00000000-0005-0000-0000-0000B6010000}"/>
    <cellStyle name="Обычный 4 3 2 2 4" xfId="582" xr:uid="{00000000-0005-0000-0000-0000B7010000}"/>
    <cellStyle name="Обычный 4 3 2 2 5" xfId="549" xr:uid="{00000000-0005-0000-0000-0000B8010000}"/>
    <cellStyle name="Обычный 4 3 2 2 6" xfId="552" xr:uid="{00000000-0005-0000-0000-0000B9010000}"/>
    <cellStyle name="Обычный 4 3 2 3" xfId="358" xr:uid="{00000000-0005-0000-0000-0000BA010000}"/>
    <cellStyle name="Обычный 4 3 2 3 2" xfId="411" xr:uid="{00000000-0005-0000-0000-0000BB010000}"/>
    <cellStyle name="Обычный 4 3 2 3 3" xfId="307" xr:uid="{00000000-0005-0000-0000-0000BC010000}"/>
    <cellStyle name="Обычный 4 3 2 3 4" xfId="413" xr:uid="{00000000-0005-0000-0000-0000BD010000}"/>
    <cellStyle name="Обычный 4 3 2 3 5" xfId="351" xr:uid="{00000000-0005-0000-0000-0000BE010000}"/>
    <cellStyle name="Обычный 4 3 2 4" xfId="361" xr:uid="{00000000-0005-0000-0000-0000BF010000}"/>
    <cellStyle name="Обычный 4 3 2 5" xfId="316" xr:uid="{00000000-0005-0000-0000-0000C0010000}"/>
    <cellStyle name="Обычный 4 3 2 6" xfId="583" xr:uid="{00000000-0005-0000-0000-0000C1010000}"/>
    <cellStyle name="Обычный 4 3 2 7" xfId="32" xr:uid="{00000000-0005-0000-0000-0000C2010000}"/>
    <cellStyle name="Обычный 4 3 3" xfId="91" xr:uid="{00000000-0005-0000-0000-0000C3010000}"/>
    <cellStyle name="Обычный 4 3 3 2" xfId="146" xr:uid="{00000000-0005-0000-0000-0000C4010000}"/>
    <cellStyle name="Обычный 4 3 3 2 2" xfId="21" xr:uid="{00000000-0005-0000-0000-0000C5010000}"/>
    <cellStyle name="Обычный 4 3 3 2 3" xfId="65" xr:uid="{00000000-0005-0000-0000-0000C6010000}"/>
    <cellStyle name="Обычный 4 3 3 2 4" xfId="58" xr:uid="{00000000-0005-0000-0000-0000C7010000}"/>
    <cellStyle name="Обычный 4 3 3 2 5" xfId="45" xr:uid="{00000000-0005-0000-0000-0000C8010000}"/>
    <cellStyle name="Обычный 4 3 3 3" xfId="148" xr:uid="{00000000-0005-0000-0000-0000C9010000}"/>
    <cellStyle name="Обычный 4 3 3 4" xfId="584" xr:uid="{00000000-0005-0000-0000-0000CA010000}"/>
    <cellStyle name="Обычный 4 3 3 5" xfId="321" xr:uid="{00000000-0005-0000-0000-0000CB010000}"/>
    <cellStyle name="Обычный 4 3 3 6" xfId="585" xr:uid="{00000000-0005-0000-0000-0000CC010000}"/>
    <cellStyle name="Обычный 4 3 4" xfId="587" xr:uid="{00000000-0005-0000-0000-0000CD010000}"/>
    <cellStyle name="Обычный 4 3 4 2" xfId="588" xr:uid="{00000000-0005-0000-0000-0000CE010000}"/>
    <cellStyle name="Обычный 4 3 4 3" xfId="589" xr:uid="{00000000-0005-0000-0000-0000CF010000}"/>
    <cellStyle name="Обычный 4 3 4 4" xfId="590" xr:uid="{00000000-0005-0000-0000-0000D0010000}"/>
    <cellStyle name="Обычный 4 3 4 5" xfId="327" xr:uid="{00000000-0005-0000-0000-0000D1010000}"/>
    <cellStyle name="Обычный 4 3 5" xfId="592" xr:uid="{00000000-0005-0000-0000-0000D2010000}"/>
    <cellStyle name="Обычный 4 3 6" xfId="594" xr:uid="{00000000-0005-0000-0000-0000D3010000}"/>
    <cellStyle name="Обычный 4 3 7" xfId="595" xr:uid="{00000000-0005-0000-0000-0000D4010000}"/>
    <cellStyle name="Обычный 4 3 8" xfId="375" xr:uid="{00000000-0005-0000-0000-0000D5010000}"/>
    <cellStyle name="Обычный 4 4" xfId="29" xr:uid="{00000000-0005-0000-0000-0000D6010000}"/>
    <cellStyle name="Обычный 4 5" xfId="597" xr:uid="{00000000-0005-0000-0000-0000D7010000}"/>
    <cellStyle name="Обычный 4 6" xfId="599" xr:uid="{00000000-0005-0000-0000-0000D8010000}"/>
    <cellStyle name="Обычный 4 7" xfId="511" xr:uid="{00000000-0005-0000-0000-0000D9010000}"/>
    <cellStyle name="Обычный 4 8" xfId="600" xr:uid="{00000000-0005-0000-0000-0000DA010000}"/>
    <cellStyle name="Обычный 4 9" xfId="1646" xr:uid="{00000000-0005-0000-0000-0000DB010000}"/>
    <cellStyle name="Обычный 4_Капекс_НВ_ 12.09.11" xfId="344" xr:uid="{00000000-0005-0000-0000-0000DC010000}"/>
    <cellStyle name="Обычный 5" xfId="530" xr:uid="{00000000-0005-0000-0000-0000DD010000}"/>
    <cellStyle name="Обычный 5 2" xfId="602" xr:uid="{00000000-0005-0000-0000-0000DE010000}"/>
    <cellStyle name="Обычный 5 2 10" xfId="603" xr:uid="{00000000-0005-0000-0000-0000DF010000}"/>
    <cellStyle name="Обычный 5 2 2" xfId="44" xr:uid="{00000000-0005-0000-0000-0000E0010000}"/>
    <cellStyle name="Обычный 5 2 2 2" xfId="606" xr:uid="{00000000-0005-0000-0000-0000E1010000}"/>
    <cellStyle name="Обычный 5 2 2 2 2" xfId="607" xr:uid="{00000000-0005-0000-0000-0000E2010000}"/>
    <cellStyle name="Обычный 5 2 2 2 2 2" xfId="608" xr:uid="{00000000-0005-0000-0000-0000E3010000}"/>
    <cellStyle name="Обычный 5 2 2 2 2 2 2" xfId="101" xr:uid="{00000000-0005-0000-0000-0000E4010000}"/>
    <cellStyle name="Обычный 5 2 2 2 2 2 3" xfId="609" xr:uid="{00000000-0005-0000-0000-0000E5010000}"/>
    <cellStyle name="Обычный 5 2 2 2 2 2 4" xfId="610" xr:uid="{00000000-0005-0000-0000-0000E6010000}"/>
    <cellStyle name="Обычный 5 2 2 2 2 2 5" xfId="611" xr:uid="{00000000-0005-0000-0000-0000E7010000}"/>
    <cellStyle name="Обычный 5 2 2 2 2 3" xfId="612" xr:uid="{00000000-0005-0000-0000-0000E8010000}"/>
    <cellStyle name="Обычный 5 2 2 2 2 4" xfId="613" xr:uid="{00000000-0005-0000-0000-0000E9010000}"/>
    <cellStyle name="Обычный 5 2 2 2 2 5" xfId="614" xr:uid="{00000000-0005-0000-0000-0000EA010000}"/>
    <cellStyle name="Обычный 5 2 2 2 2 6" xfId="615" xr:uid="{00000000-0005-0000-0000-0000EB010000}"/>
    <cellStyle name="Обычный 5 2 2 2 3" xfId="616" xr:uid="{00000000-0005-0000-0000-0000EC010000}"/>
    <cellStyle name="Обычный 5 2 2 2 3 2" xfId="617" xr:uid="{00000000-0005-0000-0000-0000ED010000}"/>
    <cellStyle name="Обычный 5 2 2 2 3 3" xfId="618" xr:uid="{00000000-0005-0000-0000-0000EE010000}"/>
    <cellStyle name="Обычный 5 2 2 2 3 4" xfId="155" xr:uid="{00000000-0005-0000-0000-0000EF010000}"/>
    <cellStyle name="Обычный 5 2 2 2 3 5" xfId="159" xr:uid="{00000000-0005-0000-0000-0000F0010000}"/>
    <cellStyle name="Обычный 5 2 2 2 4" xfId="619" xr:uid="{00000000-0005-0000-0000-0000F1010000}"/>
    <cellStyle name="Обычный 5 2 2 2 5" xfId="620" xr:uid="{00000000-0005-0000-0000-0000F2010000}"/>
    <cellStyle name="Обычный 5 2 2 2 6" xfId="621" xr:uid="{00000000-0005-0000-0000-0000F3010000}"/>
    <cellStyle name="Обычный 5 2 2 2 7" xfId="622" xr:uid="{00000000-0005-0000-0000-0000F4010000}"/>
    <cellStyle name="Обычный 5 2 2 3" xfId="625" xr:uid="{00000000-0005-0000-0000-0000F5010000}"/>
    <cellStyle name="Обычный 5 2 2 3 2" xfId="627" xr:uid="{00000000-0005-0000-0000-0000F6010000}"/>
    <cellStyle name="Обычный 5 2 2 3 2 2" xfId="628" xr:uid="{00000000-0005-0000-0000-0000F7010000}"/>
    <cellStyle name="Обычный 5 2 2 3 2 3" xfId="629" xr:uid="{00000000-0005-0000-0000-0000F8010000}"/>
    <cellStyle name="Обычный 5 2 2 3 2 4" xfId="630" xr:uid="{00000000-0005-0000-0000-0000F9010000}"/>
    <cellStyle name="Обычный 5 2 2 3 2 5" xfId="631" xr:uid="{00000000-0005-0000-0000-0000FA010000}"/>
    <cellStyle name="Обычный 5 2 2 3 3" xfId="633" xr:uid="{00000000-0005-0000-0000-0000FB010000}"/>
    <cellStyle name="Обычный 5 2 2 3 4" xfId="635" xr:uid="{00000000-0005-0000-0000-0000FC010000}"/>
    <cellStyle name="Обычный 5 2 2 3 5" xfId="637" xr:uid="{00000000-0005-0000-0000-0000FD010000}"/>
    <cellStyle name="Обычный 5 2 2 3 6" xfId="639" xr:uid="{00000000-0005-0000-0000-0000FE010000}"/>
    <cellStyle name="Обычный 5 2 2 4" xfId="642" xr:uid="{00000000-0005-0000-0000-0000FF010000}"/>
    <cellStyle name="Обычный 5 2 2 4 2" xfId="643" xr:uid="{00000000-0005-0000-0000-000000020000}"/>
    <cellStyle name="Обычный 5 2 2 4 3" xfId="644" xr:uid="{00000000-0005-0000-0000-000001020000}"/>
    <cellStyle name="Обычный 5 2 2 4 4" xfId="646" xr:uid="{00000000-0005-0000-0000-000002020000}"/>
    <cellStyle name="Обычный 5 2 2 4 5" xfId="648" xr:uid="{00000000-0005-0000-0000-000003020000}"/>
    <cellStyle name="Обычный 5 2 2 5" xfId="650" xr:uid="{00000000-0005-0000-0000-000004020000}"/>
    <cellStyle name="Обычный 5 2 2 6" xfId="652" xr:uid="{00000000-0005-0000-0000-000005020000}"/>
    <cellStyle name="Обычный 5 2 2 7" xfId="653" xr:uid="{00000000-0005-0000-0000-000006020000}"/>
    <cellStyle name="Обычный 5 2 2 8" xfId="654" xr:uid="{00000000-0005-0000-0000-000007020000}"/>
    <cellStyle name="Обычный 5 2 3" xfId="656" xr:uid="{00000000-0005-0000-0000-000008020000}"/>
    <cellStyle name="Обычный 5 2 3 2" xfId="658" xr:uid="{00000000-0005-0000-0000-000009020000}"/>
    <cellStyle name="Обычный 5 2 3 2 2" xfId="659" xr:uid="{00000000-0005-0000-0000-00000A020000}"/>
    <cellStyle name="Обычный 5 2 3 2 2 2" xfId="660" xr:uid="{00000000-0005-0000-0000-00000B020000}"/>
    <cellStyle name="Обычный 5 2 3 2 2 3" xfId="661" xr:uid="{00000000-0005-0000-0000-00000C020000}"/>
    <cellStyle name="Обычный 5 2 3 2 2 4" xfId="662" xr:uid="{00000000-0005-0000-0000-00000D020000}"/>
    <cellStyle name="Обычный 5 2 3 2 2 5" xfId="663" xr:uid="{00000000-0005-0000-0000-00000E020000}"/>
    <cellStyle name="Обычный 5 2 3 2 3" xfId="664" xr:uid="{00000000-0005-0000-0000-00000F020000}"/>
    <cellStyle name="Обычный 5 2 3 2 4" xfId="665" xr:uid="{00000000-0005-0000-0000-000010020000}"/>
    <cellStyle name="Обычный 5 2 3 2 5" xfId="666" xr:uid="{00000000-0005-0000-0000-000011020000}"/>
    <cellStyle name="Обычный 5 2 3 2 6" xfId="667" xr:uid="{00000000-0005-0000-0000-000012020000}"/>
    <cellStyle name="Обычный 5 2 3 3" xfId="669" xr:uid="{00000000-0005-0000-0000-000013020000}"/>
    <cellStyle name="Обычный 5 2 3 3 2" xfId="670" xr:uid="{00000000-0005-0000-0000-000014020000}"/>
    <cellStyle name="Обычный 5 2 3 3 3" xfId="671" xr:uid="{00000000-0005-0000-0000-000015020000}"/>
    <cellStyle name="Обычный 5 2 3 3 4" xfId="672" xr:uid="{00000000-0005-0000-0000-000016020000}"/>
    <cellStyle name="Обычный 5 2 3 3 5" xfId="673" xr:uid="{00000000-0005-0000-0000-000017020000}"/>
    <cellStyle name="Обычный 5 2 3 4" xfId="675" xr:uid="{00000000-0005-0000-0000-000018020000}"/>
    <cellStyle name="Обычный 5 2 3 5" xfId="677" xr:uid="{00000000-0005-0000-0000-000019020000}"/>
    <cellStyle name="Обычный 5 2 3 6" xfId="678" xr:uid="{00000000-0005-0000-0000-00001A020000}"/>
    <cellStyle name="Обычный 5 2 3 7" xfId="679" xr:uid="{00000000-0005-0000-0000-00001B020000}"/>
    <cellStyle name="Обычный 5 2 4" xfId="681" xr:uid="{00000000-0005-0000-0000-00001C020000}"/>
    <cellStyle name="Обычный 5 2 4 2" xfId="683" xr:uid="{00000000-0005-0000-0000-00001D020000}"/>
    <cellStyle name="Обычный 5 2 4 2 2" xfId="684" xr:uid="{00000000-0005-0000-0000-00001E020000}"/>
    <cellStyle name="Обычный 5 2 4 2 3" xfId="685" xr:uid="{00000000-0005-0000-0000-00001F020000}"/>
    <cellStyle name="Обычный 5 2 4 2 4" xfId="686" xr:uid="{00000000-0005-0000-0000-000020020000}"/>
    <cellStyle name="Обычный 5 2 4 2 5" xfId="687" xr:uid="{00000000-0005-0000-0000-000021020000}"/>
    <cellStyle name="Обычный 5 2 4 3" xfId="689" xr:uid="{00000000-0005-0000-0000-000022020000}"/>
    <cellStyle name="Обычный 5 2 4 4" xfId="691" xr:uid="{00000000-0005-0000-0000-000023020000}"/>
    <cellStyle name="Обычный 5 2 4 5" xfId="692" xr:uid="{00000000-0005-0000-0000-000024020000}"/>
    <cellStyle name="Обычный 5 2 4 6" xfId="694" xr:uid="{00000000-0005-0000-0000-000025020000}"/>
    <cellStyle name="Обычный 5 2 5" xfId="696" xr:uid="{00000000-0005-0000-0000-000026020000}"/>
    <cellStyle name="Обычный 5 2 5 2" xfId="697" xr:uid="{00000000-0005-0000-0000-000027020000}"/>
    <cellStyle name="Обычный 5 2 5 2 2" xfId="698" xr:uid="{00000000-0005-0000-0000-000028020000}"/>
    <cellStyle name="Обычный 5 2 5 2 3" xfId="699" xr:uid="{00000000-0005-0000-0000-000029020000}"/>
    <cellStyle name="Обычный 5 2 5 2 4" xfId="700" xr:uid="{00000000-0005-0000-0000-00002A020000}"/>
    <cellStyle name="Обычный 5 2 5 2 5" xfId="701" xr:uid="{00000000-0005-0000-0000-00002B020000}"/>
    <cellStyle name="Обычный 5 2 5 3" xfId="702" xr:uid="{00000000-0005-0000-0000-00002C020000}"/>
    <cellStyle name="Обычный 5 2 5 4" xfId="703" xr:uid="{00000000-0005-0000-0000-00002D020000}"/>
    <cellStyle name="Обычный 5 2 5 5" xfId="704" xr:uid="{00000000-0005-0000-0000-00002E020000}"/>
    <cellStyle name="Обычный 5 2 5 6" xfId="705" xr:uid="{00000000-0005-0000-0000-00002F020000}"/>
    <cellStyle name="Обычный 5 2 6" xfId="706" xr:uid="{00000000-0005-0000-0000-000030020000}"/>
    <cellStyle name="Обычный 5 2 6 2" xfId="707" xr:uid="{00000000-0005-0000-0000-000031020000}"/>
    <cellStyle name="Обычный 5 2 6 3" xfId="708" xr:uid="{00000000-0005-0000-0000-000032020000}"/>
    <cellStyle name="Обычный 5 2 6 4" xfId="709" xr:uid="{00000000-0005-0000-0000-000033020000}"/>
    <cellStyle name="Обычный 5 2 6 5" xfId="710" xr:uid="{00000000-0005-0000-0000-000034020000}"/>
    <cellStyle name="Обычный 5 2 7" xfId="711" xr:uid="{00000000-0005-0000-0000-000035020000}"/>
    <cellStyle name="Обычный 5 2 8" xfId="712" xr:uid="{00000000-0005-0000-0000-000036020000}"/>
    <cellStyle name="Обычный 5 2 9" xfId="713" xr:uid="{00000000-0005-0000-0000-000037020000}"/>
    <cellStyle name="Обычный 5 3" xfId="715" xr:uid="{00000000-0005-0000-0000-000038020000}"/>
    <cellStyle name="Обычный 5 3 2" xfId="716" xr:uid="{00000000-0005-0000-0000-000039020000}"/>
    <cellStyle name="Обычный 5 4" xfId="718" xr:uid="{00000000-0005-0000-0000-00003A020000}"/>
    <cellStyle name="Обычный 5 4 2" xfId="719" xr:uid="{00000000-0005-0000-0000-00003B020000}"/>
    <cellStyle name="Обычный 5 5" xfId="721" xr:uid="{00000000-0005-0000-0000-00003C020000}"/>
    <cellStyle name="Обычный 5 5 2" xfId="722" xr:uid="{00000000-0005-0000-0000-00003D020000}"/>
    <cellStyle name="Обычный 5 6" xfId="725" xr:uid="{00000000-0005-0000-0000-00003E020000}"/>
    <cellStyle name="Обычный 5 6 2" xfId="726" xr:uid="{00000000-0005-0000-0000-00003F020000}"/>
    <cellStyle name="Обычный 5 7" xfId="728" xr:uid="{00000000-0005-0000-0000-000040020000}"/>
    <cellStyle name="Обычный 5 7 2" xfId="729" xr:uid="{00000000-0005-0000-0000-000041020000}"/>
    <cellStyle name="Обычный 6" xfId="3" xr:uid="{00000000-0005-0000-0000-000042020000}"/>
    <cellStyle name="Обычный 6 10" xfId="731" xr:uid="{00000000-0005-0000-0000-000043020000}"/>
    <cellStyle name="Обычный 6 11" xfId="732" xr:uid="{00000000-0005-0000-0000-000044020000}"/>
    <cellStyle name="Обычный 6 12" xfId="730" xr:uid="{00000000-0005-0000-0000-000045020000}"/>
    <cellStyle name="Обычный 6 2" xfId="735" xr:uid="{00000000-0005-0000-0000-000046020000}"/>
    <cellStyle name="Обычный 6 2 2" xfId="737" xr:uid="{00000000-0005-0000-0000-000047020000}"/>
    <cellStyle name="Обычный 6 2 2 2" xfId="739" xr:uid="{00000000-0005-0000-0000-000048020000}"/>
    <cellStyle name="Обычный 6 2 2 2 2" xfId="740" xr:uid="{00000000-0005-0000-0000-000049020000}"/>
    <cellStyle name="Обычный 6 2 2 2 2 2" xfId="741" xr:uid="{00000000-0005-0000-0000-00004A020000}"/>
    <cellStyle name="Обычный 6 2 2 2 2 3" xfId="742" xr:uid="{00000000-0005-0000-0000-00004B020000}"/>
    <cellStyle name="Обычный 6 2 2 2 2 4" xfId="743" xr:uid="{00000000-0005-0000-0000-00004C020000}"/>
    <cellStyle name="Обычный 6 2 2 2 2 5" xfId="744" xr:uid="{00000000-0005-0000-0000-00004D020000}"/>
    <cellStyle name="Обычный 6 2 2 2 3" xfId="746" xr:uid="{00000000-0005-0000-0000-00004E020000}"/>
    <cellStyle name="Обычный 6 2 2 2 4" xfId="747" xr:uid="{00000000-0005-0000-0000-00004F020000}"/>
    <cellStyle name="Обычный 6 2 2 2 5" xfId="748" xr:uid="{00000000-0005-0000-0000-000050020000}"/>
    <cellStyle name="Обычный 6 2 2 2 6" xfId="749" xr:uid="{00000000-0005-0000-0000-000051020000}"/>
    <cellStyle name="Обычный 6 2 2 3" xfId="751" xr:uid="{00000000-0005-0000-0000-000052020000}"/>
    <cellStyle name="Обычный 6 2 2 3 2" xfId="752" xr:uid="{00000000-0005-0000-0000-000053020000}"/>
    <cellStyle name="Обычный 6 2 2 3 3" xfId="754" xr:uid="{00000000-0005-0000-0000-000054020000}"/>
    <cellStyle name="Обычный 6 2 2 3 4" xfId="755" xr:uid="{00000000-0005-0000-0000-000055020000}"/>
    <cellStyle name="Обычный 6 2 2 3 5" xfId="756" xr:uid="{00000000-0005-0000-0000-000056020000}"/>
    <cellStyle name="Обычный 6 2 2 4" xfId="757" xr:uid="{00000000-0005-0000-0000-000057020000}"/>
    <cellStyle name="Обычный 6 2 2 5" xfId="758" xr:uid="{00000000-0005-0000-0000-000058020000}"/>
    <cellStyle name="Обычный 6 2 2 6" xfId="759" xr:uid="{00000000-0005-0000-0000-000059020000}"/>
    <cellStyle name="Обычный 6 2 2 7" xfId="760" xr:uid="{00000000-0005-0000-0000-00005A020000}"/>
    <cellStyle name="Обычный 6 2 3" xfId="762" xr:uid="{00000000-0005-0000-0000-00005B020000}"/>
    <cellStyle name="Обычный 6 2 3 2" xfId="764" xr:uid="{00000000-0005-0000-0000-00005C020000}"/>
    <cellStyle name="Обычный 6 2 3 2 2" xfId="765" xr:uid="{00000000-0005-0000-0000-00005D020000}"/>
    <cellStyle name="Обычный 6 2 3 2 3" xfId="766" xr:uid="{00000000-0005-0000-0000-00005E020000}"/>
    <cellStyle name="Обычный 6 2 3 2 4" xfId="767" xr:uid="{00000000-0005-0000-0000-00005F020000}"/>
    <cellStyle name="Обычный 6 2 3 2 5" xfId="768" xr:uid="{00000000-0005-0000-0000-000060020000}"/>
    <cellStyle name="Обычный 6 2 3 3" xfId="769" xr:uid="{00000000-0005-0000-0000-000061020000}"/>
    <cellStyle name="Обычный 6 2 3 4" xfId="770" xr:uid="{00000000-0005-0000-0000-000062020000}"/>
    <cellStyle name="Обычный 6 2 3 5" xfId="771" xr:uid="{00000000-0005-0000-0000-000063020000}"/>
    <cellStyle name="Обычный 6 2 3 6" xfId="772" xr:uid="{00000000-0005-0000-0000-000064020000}"/>
    <cellStyle name="Обычный 6 2 4" xfId="775" xr:uid="{00000000-0005-0000-0000-000065020000}"/>
    <cellStyle name="Обычный 6 2 4 2" xfId="776" xr:uid="{00000000-0005-0000-0000-000066020000}"/>
    <cellStyle name="Обычный 6 2 4 3" xfId="777" xr:uid="{00000000-0005-0000-0000-000067020000}"/>
    <cellStyle name="Обычный 6 2 4 4" xfId="778" xr:uid="{00000000-0005-0000-0000-000068020000}"/>
    <cellStyle name="Обычный 6 2 4 5" xfId="779" xr:uid="{00000000-0005-0000-0000-000069020000}"/>
    <cellStyle name="Обычный 6 2 5" xfId="782" xr:uid="{00000000-0005-0000-0000-00006A020000}"/>
    <cellStyle name="Обычный 6 2 6" xfId="784" xr:uid="{00000000-0005-0000-0000-00006B020000}"/>
    <cellStyle name="Обычный 6 2 7" xfId="786" xr:uid="{00000000-0005-0000-0000-00006C020000}"/>
    <cellStyle name="Обычный 6 2 8" xfId="787" xr:uid="{00000000-0005-0000-0000-00006D020000}"/>
    <cellStyle name="Обычный 6 3" xfId="790" xr:uid="{00000000-0005-0000-0000-00006E020000}"/>
    <cellStyle name="Обычный 6 3 2" xfId="791" xr:uid="{00000000-0005-0000-0000-00006F020000}"/>
    <cellStyle name="Обычный 6 3 2 2" xfId="792" xr:uid="{00000000-0005-0000-0000-000070020000}"/>
    <cellStyle name="Обычный 6 3 2 2 2" xfId="793" xr:uid="{00000000-0005-0000-0000-000071020000}"/>
    <cellStyle name="Обычный 6 3 2 2 3" xfId="794" xr:uid="{00000000-0005-0000-0000-000072020000}"/>
    <cellStyle name="Обычный 6 3 2 2 4" xfId="795" xr:uid="{00000000-0005-0000-0000-000073020000}"/>
    <cellStyle name="Обычный 6 3 2 2 5" xfId="796" xr:uid="{00000000-0005-0000-0000-000074020000}"/>
    <cellStyle name="Обычный 6 3 2 3" xfId="797" xr:uid="{00000000-0005-0000-0000-000075020000}"/>
    <cellStyle name="Обычный 6 3 2 4" xfId="798" xr:uid="{00000000-0005-0000-0000-000076020000}"/>
    <cellStyle name="Обычный 6 3 2 5" xfId="799" xr:uid="{00000000-0005-0000-0000-000077020000}"/>
    <cellStyle name="Обычный 6 3 2 6" xfId="471" xr:uid="{00000000-0005-0000-0000-000078020000}"/>
    <cellStyle name="Обычный 6 3 3" xfId="800" xr:uid="{00000000-0005-0000-0000-000079020000}"/>
    <cellStyle name="Обычный 6 3 3 2" xfId="801" xr:uid="{00000000-0005-0000-0000-00007A020000}"/>
    <cellStyle name="Обычный 6 3 3 3" xfId="802" xr:uid="{00000000-0005-0000-0000-00007B020000}"/>
    <cellStyle name="Обычный 6 3 3 4" xfId="803" xr:uid="{00000000-0005-0000-0000-00007C020000}"/>
    <cellStyle name="Обычный 6 3 3 5" xfId="804" xr:uid="{00000000-0005-0000-0000-00007D020000}"/>
    <cellStyle name="Обычный 6 3 4" xfId="805" xr:uid="{00000000-0005-0000-0000-00007E020000}"/>
    <cellStyle name="Обычный 6 3 5" xfId="806" xr:uid="{00000000-0005-0000-0000-00007F020000}"/>
    <cellStyle name="Обычный 6 3 6" xfId="807" xr:uid="{00000000-0005-0000-0000-000080020000}"/>
    <cellStyle name="Обычный 6 3 7" xfId="808" xr:uid="{00000000-0005-0000-0000-000081020000}"/>
    <cellStyle name="Обычный 6 4" xfId="811" xr:uid="{00000000-0005-0000-0000-000082020000}"/>
    <cellStyle name="Обычный 6 4 2" xfId="812" xr:uid="{00000000-0005-0000-0000-000083020000}"/>
    <cellStyle name="Обычный 6 4 2 2" xfId="813" xr:uid="{00000000-0005-0000-0000-000084020000}"/>
    <cellStyle name="Обычный 6 4 2 3" xfId="814" xr:uid="{00000000-0005-0000-0000-000085020000}"/>
    <cellStyle name="Обычный 6 4 2 4" xfId="815" xr:uid="{00000000-0005-0000-0000-000086020000}"/>
    <cellStyle name="Обычный 6 4 2 5" xfId="816" xr:uid="{00000000-0005-0000-0000-000087020000}"/>
    <cellStyle name="Обычный 6 4 3" xfId="817" xr:uid="{00000000-0005-0000-0000-000088020000}"/>
    <cellStyle name="Обычный 6 4 4" xfId="818" xr:uid="{00000000-0005-0000-0000-000089020000}"/>
    <cellStyle name="Обычный 6 4 5" xfId="819" xr:uid="{00000000-0005-0000-0000-00008A020000}"/>
    <cellStyle name="Обычный 6 4 6" xfId="820" xr:uid="{00000000-0005-0000-0000-00008B020000}"/>
    <cellStyle name="Обычный 6 5" xfId="822" xr:uid="{00000000-0005-0000-0000-00008C020000}"/>
    <cellStyle name="Обычный 6 5 2" xfId="825" xr:uid="{00000000-0005-0000-0000-00008D020000}"/>
    <cellStyle name="Обычный 6 5 2 2" xfId="828" xr:uid="{00000000-0005-0000-0000-00008E020000}"/>
    <cellStyle name="Обычный 6 5 2 3" xfId="830" xr:uid="{00000000-0005-0000-0000-00008F020000}"/>
    <cellStyle name="Обычный 6 5 2 4" xfId="832" xr:uid="{00000000-0005-0000-0000-000090020000}"/>
    <cellStyle name="Обычный 6 5 2 5" xfId="834" xr:uid="{00000000-0005-0000-0000-000091020000}"/>
    <cellStyle name="Обычный 6 5 3" xfId="24" xr:uid="{00000000-0005-0000-0000-000092020000}"/>
    <cellStyle name="Обычный 6 5 4" xfId="837" xr:uid="{00000000-0005-0000-0000-000093020000}"/>
    <cellStyle name="Обычный 6 5 5" xfId="840" xr:uid="{00000000-0005-0000-0000-000094020000}"/>
    <cellStyle name="Обычный 6 5 6" xfId="843" xr:uid="{00000000-0005-0000-0000-000095020000}"/>
    <cellStyle name="Обычный 6 6" xfId="845" xr:uid="{00000000-0005-0000-0000-000096020000}"/>
    <cellStyle name="Обычный 6 6 2" xfId="846" xr:uid="{00000000-0005-0000-0000-000097020000}"/>
    <cellStyle name="Обычный 6 6 2 2" xfId="847" xr:uid="{00000000-0005-0000-0000-000098020000}"/>
    <cellStyle name="Обычный 6 6 2 3" xfId="848" xr:uid="{00000000-0005-0000-0000-000099020000}"/>
    <cellStyle name="Обычный 6 6 2 4" xfId="849" xr:uid="{00000000-0005-0000-0000-00009A020000}"/>
    <cellStyle name="Обычный 6 6 2 5" xfId="850" xr:uid="{00000000-0005-0000-0000-00009B020000}"/>
    <cellStyle name="Обычный 6 6 3" xfId="851" xr:uid="{00000000-0005-0000-0000-00009C020000}"/>
    <cellStyle name="Обычный 6 6 4" xfId="852" xr:uid="{00000000-0005-0000-0000-00009D020000}"/>
    <cellStyle name="Обычный 6 6 5" xfId="853" xr:uid="{00000000-0005-0000-0000-00009E020000}"/>
    <cellStyle name="Обычный 6 6 6" xfId="854" xr:uid="{00000000-0005-0000-0000-00009F020000}"/>
    <cellStyle name="Обычный 6 7" xfId="855" xr:uid="{00000000-0005-0000-0000-0000A0020000}"/>
    <cellStyle name="Обычный 6 7 2" xfId="856" xr:uid="{00000000-0005-0000-0000-0000A1020000}"/>
    <cellStyle name="Обычный 6 7 3" xfId="857" xr:uid="{00000000-0005-0000-0000-0000A2020000}"/>
    <cellStyle name="Обычный 6 7 4" xfId="858" xr:uid="{00000000-0005-0000-0000-0000A3020000}"/>
    <cellStyle name="Обычный 6 7 5" xfId="859" xr:uid="{00000000-0005-0000-0000-0000A4020000}"/>
    <cellStyle name="Обычный 6 8" xfId="860" xr:uid="{00000000-0005-0000-0000-0000A5020000}"/>
    <cellStyle name="Обычный 6 9" xfId="861" xr:uid="{00000000-0005-0000-0000-0000A6020000}"/>
    <cellStyle name="Обычный 7" xfId="862" xr:uid="{00000000-0005-0000-0000-0000A7020000}"/>
    <cellStyle name="Обычный 7 10" xfId="863" xr:uid="{00000000-0005-0000-0000-0000A8020000}"/>
    <cellStyle name="Обычный 7 11" xfId="864" xr:uid="{00000000-0005-0000-0000-0000A9020000}"/>
    <cellStyle name="Обычный 7 2" xfId="866" xr:uid="{00000000-0005-0000-0000-0000AA020000}"/>
    <cellStyle name="Обычный 7 2 2" xfId="868" xr:uid="{00000000-0005-0000-0000-0000AB020000}"/>
    <cellStyle name="Обычный 7 2 2 2" xfId="869" xr:uid="{00000000-0005-0000-0000-0000AC020000}"/>
    <cellStyle name="Обычный 7 2 2 2 2" xfId="870" xr:uid="{00000000-0005-0000-0000-0000AD020000}"/>
    <cellStyle name="Обычный 7 2 2 2 2 2" xfId="873" xr:uid="{00000000-0005-0000-0000-0000AE020000}"/>
    <cellStyle name="Обычный 7 2 2 2 2 3" xfId="876" xr:uid="{00000000-0005-0000-0000-0000AF020000}"/>
    <cellStyle name="Обычный 7 2 2 2 2 4" xfId="878" xr:uid="{00000000-0005-0000-0000-0000B0020000}"/>
    <cellStyle name="Обычный 7 2 2 2 2 5" xfId="879" xr:uid="{00000000-0005-0000-0000-0000B1020000}"/>
    <cellStyle name="Обычный 7 2 2 2 3" xfId="880" xr:uid="{00000000-0005-0000-0000-0000B2020000}"/>
    <cellStyle name="Обычный 7 2 2 2 4" xfId="881" xr:uid="{00000000-0005-0000-0000-0000B3020000}"/>
    <cellStyle name="Обычный 7 2 2 2 5" xfId="882" xr:uid="{00000000-0005-0000-0000-0000B4020000}"/>
    <cellStyle name="Обычный 7 2 2 2 6" xfId="883" xr:uid="{00000000-0005-0000-0000-0000B5020000}"/>
    <cellStyle name="Обычный 7 2 2 3" xfId="885" xr:uid="{00000000-0005-0000-0000-0000B6020000}"/>
    <cellStyle name="Обычный 7 2 2 3 2" xfId="887" xr:uid="{00000000-0005-0000-0000-0000B7020000}"/>
    <cellStyle name="Обычный 7 2 2 3 3" xfId="889" xr:uid="{00000000-0005-0000-0000-0000B8020000}"/>
    <cellStyle name="Обычный 7 2 2 3 4" xfId="891" xr:uid="{00000000-0005-0000-0000-0000B9020000}"/>
    <cellStyle name="Обычный 7 2 2 3 5" xfId="893" xr:uid="{00000000-0005-0000-0000-0000BA020000}"/>
    <cellStyle name="Обычный 7 2 2 4" xfId="895" xr:uid="{00000000-0005-0000-0000-0000BB020000}"/>
    <cellStyle name="Обычный 7 2 2 5" xfId="734" xr:uid="{00000000-0005-0000-0000-0000BC020000}"/>
    <cellStyle name="Обычный 7 2 2 6" xfId="789" xr:uid="{00000000-0005-0000-0000-0000BD020000}"/>
    <cellStyle name="Обычный 7 2 2 7" xfId="810" xr:uid="{00000000-0005-0000-0000-0000BE020000}"/>
    <cellStyle name="Обычный 7 2 3" xfId="896" xr:uid="{00000000-0005-0000-0000-0000BF020000}"/>
    <cellStyle name="Обычный 7 2 3 2" xfId="898" xr:uid="{00000000-0005-0000-0000-0000C0020000}"/>
    <cellStyle name="Обычный 7 2 3 2 2" xfId="899" xr:uid="{00000000-0005-0000-0000-0000C1020000}"/>
    <cellStyle name="Обычный 7 2 3 2 3" xfId="901" xr:uid="{00000000-0005-0000-0000-0000C2020000}"/>
    <cellStyle name="Обычный 7 2 3 2 4" xfId="903" xr:uid="{00000000-0005-0000-0000-0000C3020000}"/>
    <cellStyle name="Обычный 7 2 3 2 5" xfId="905" xr:uid="{00000000-0005-0000-0000-0000C4020000}"/>
    <cellStyle name="Обычный 7 2 3 3" xfId="908" xr:uid="{00000000-0005-0000-0000-0000C5020000}"/>
    <cellStyle name="Обычный 7 2 3 4" xfId="910" xr:uid="{00000000-0005-0000-0000-0000C6020000}"/>
    <cellStyle name="Обычный 7 2 3 5" xfId="865" xr:uid="{00000000-0005-0000-0000-0000C7020000}"/>
    <cellStyle name="Обычный 7 2 3 6" xfId="912" xr:uid="{00000000-0005-0000-0000-0000C8020000}"/>
    <cellStyle name="Обычный 7 2 4" xfId="913" xr:uid="{00000000-0005-0000-0000-0000C9020000}"/>
    <cellStyle name="Обычный 7 2 4 2" xfId="915" xr:uid="{00000000-0005-0000-0000-0000CA020000}"/>
    <cellStyle name="Обычный 7 2 4 3" xfId="918" xr:uid="{00000000-0005-0000-0000-0000CB020000}"/>
    <cellStyle name="Обычный 7 2 4 4" xfId="919" xr:uid="{00000000-0005-0000-0000-0000CC020000}"/>
    <cellStyle name="Обычный 7 2 4 5" xfId="921" xr:uid="{00000000-0005-0000-0000-0000CD020000}"/>
    <cellStyle name="Обычный 7 2 5" xfId="922" xr:uid="{00000000-0005-0000-0000-0000CE020000}"/>
    <cellStyle name="Обычный 7 2 6" xfId="923" xr:uid="{00000000-0005-0000-0000-0000CF020000}"/>
    <cellStyle name="Обычный 7 2 7" xfId="924" xr:uid="{00000000-0005-0000-0000-0000D0020000}"/>
    <cellStyle name="Обычный 7 2 8" xfId="925" xr:uid="{00000000-0005-0000-0000-0000D1020000}"/>
    <cellStyle name="Обычный 7 3" xfId="911" xr:uid="{00000000-0005-0000-0000-0000D2020000}"/>
    <cellStyle name="Обычный 7 3 2" xfId="926" xr:uid="{00000000-0005-0000-0000-0000D3020000}"/>
    <cellStyle name="Обычный 7 3 2 2" xfId="20" xr:uid="{00000000-0005-0000-0000-0000D4020000}"/>
    <cellStyle name="Обычный 7 3 2 2 2" xfId="928" xr:uid="{00000000-0005-0000-0000-0000D5020000}"/>
    <cellStyle name="Обычный 7 3 2 2 3" xfId="872" xr:uid="{00000000-0005-0000-0000-0000D6020000}"/>
    <cellStyle name="Обычный 7 3 2 2 4" xfId="875" xr:uid="{00000000-0005-0000-0000-0000D7020000}"/>
    <cellStyle name="Обычный 7 3 2 2 5" xfId="877" xr:uid="{00000000-0005-0000-0000-0000D8020000}"/>
    <cellStyle name="Обычный 7 3 2 3" xfId="66" xr:uid="{00000000-0005-0000-0000-0000D9020000}"/>
    <cellStyle name="Обычный 7 3 2 4" xfId="59" xr:uid="{00000000-0005-0000-0000-0000DA020000}"/>
    <cellStyle name="Обычный 7 3 2 5" xfId="47" xr:uid="{00000000-0005-0000-0000-0000DB020000}"/>
    <cellStyle name="Обычный 7 3 2 6" xfId="930" xr:uid="{00000000-0005-0000-0000-0000DC020000}"/>
    <cellStyle name="Обычный 7 3 3" xfId="931" xr:uid="{00000000-0005-0000-0000-0000DD020000}"/>
    <cellStyle name="Обычный 7 3 3 2" xfId="933" xr:uid="{00000000-0005-0000-0000-0000DE020000}"/>
    <cellStyle name="Обычный 7 3 3 3" xfId="935" xr:uid="{00000000-0005-0000-0000-0000DF020000}"/>
    <cellStyle name="Обычный 7 3 3 4" xfId="937" xr:uid="{00000000-0005-0000-0000-0000E0020000}"/>
    <cellStyle name="Обычный 7 3 3 5" xfId="939" xr:uid="{00000000-0005-0000-0000-0000E1020000}"/>
    <cellStyle name="Обычный 7 3 4" xfId="940" xr:uid="{00000000-0005-0000-0000-0000E2020000}"/>
    <cellStyle name="Обычный 7 3 5" xfId="941" xr:uid="{00000000-0005-0000-0000-0000E3020000}"/>
    <cellStyle name="Обычный 7 3 6" xfId="942" xr:uid="{00000000-0005-0000-0000-0000E4020000}"/>
    <cellStyle name="Обычный 7 3 7" xfId="943" xr:uid="{00000000-0005-0000-0000-0000E5020000}"/>
    <cellStyle name="Обычный 7 4" xfId="944" xr:uid="{00000000-0005-0000-0000-0000E6020000}"/>
    <cellStyle name="Обычный 7 4 2" xfId="945" xr:uid="{00000000-0005-0000-0000-0000E7020000}"/>
    <cellStyle name="Обычный 7 4 2 2" xfId="946" xr:uid="{00000000-0005-0000-0000-0000E8020000}"/>
    <cellStyle name="Обычный 7 4 2 3" xfId="947" xr:uid="{00000000-0005-0000-0000-0000E9020000}"/>
    <cellStyle name="Обычный 7 4 2 4" xfId="948" xr:uid="{00000000-0005-0000-0000-0000EA020000}"/>
    <cellStyle name="Обычный 7 4 2 5" xfId="949" xr:uid="{00000000-0005-0000-0000-0000EB020000}"/>
    <cellStyle name="Обычный 7 4 3" xfId="950" xr:uid="{00000000-0005-0000-0000-0000EC020000}"/>
    <cellStyle name="Обычный 7 4 4" xfId="951" xr:uid="{00000000-0005-0000-0000-0000ED020000}"/>
    <cellStyle name="Обычный 7 4 5" xfId="952" xr:uid="{00000000-0005-0000-0000-0000EE020000}"/>
    <cellStyle name="Обычный 7 4 6" xfId="953" xr:uid="{00000000-0005-0000-0000-0000EF020000}"/>
    <cellStyle name="Обычный 7 5" xfId="954" xr:uid="{00000000-0005-0000-0000-0000F0020000}"/>
    <cellStyle name="Обычный 7 5 2" xfId="955" xr:uid="{00000000-0005-0000-0000-0000F1020000}"/>
    <cellStyle name="Обычный 7 5 2 2" xfId="956" xr:uid="{00000000-0005-0000-0000-0000F2020000}"/>
    <cellStyle name="Обычный 7 5 2 3" xfId="957" xr:uid="{00000000-0005-0000-0000-0000F3020000}"/>
    <cellStyle name="Обычный 7 5 2 4" xfId="958" xr:uid="{00000000-0005-0000-0000-0000F4020000}"/>
    <cellStyle name="Обычный 7 5 2 5" xfId="959" xr:uid="{00000000-0005-0000-0000-0000F5020000}"/>
    <cellStyle name="Обычный 7 5 3" xfId="960" xr:uid="{00000000-0005-0000-0000-0000F6020000}"/>
    <cellStyle name="Обычный 7 5 4" xfId="961" xr:uid="{00000000-0005-0000-0000-0000F7020000}"/>
    <cellStyle name="Обычный 7 5 5" xfId="962" xr:uid="{00000000-0005-0000-0000-0000F8020000}"/>
    <cellStyle name="Обычный 7 5 6" xfId="963" xr:uid="{00000000-0005-0000-0000-0000F9020000}"/>
    <cellStyle name="Обычный 7 6" xfId="964" xr:uid="{00000000-0005-0000-0000-0000FA020000}"/>
    <cellStyle name="Обычный 7 6 2" xfId="965" xr:uid="{00000000-0005-0000-0000-0000FB020000}"/>
    <cellStyle name="Обычный 7 6 2 2" xfId="966" xr:uid="{00000000-0005-0000-0000-0000FC020000}"/>
    <cellStyle name="Обычный 7 6 2 3" xfId="968" xr:uid="{00000000-0005-0000-0000-0000FD020000}"/>
    <cellStyle name="Обычный 7 6 2 4" xfId="970" xr:uid="{00000000-0005-0000-0000-0000FE020000}"/>
    <cellStyle name="Обычный 7 6 2 5" xfId="971" xr:uid="{00000000-0005-0000-0000-0000FF020000}"/>
    <cellStyle name="Обычный 7 6 3" xfId="972" xr:uid="{00000000-0005-0000-0000-000000030000}"/>
    <cellStyle name="Обычный 7 6 4" xfId="973" xr:uid="{00000000-0005-0000-0000-000001030000}"/>
    <cellStyle name="Обычный 7 6 5" xfId="974" xr:uid="{00000000-0005-0000-0000-000002030000}"/>
    <cellStyle name="Обычный 7 6 6" xfId="343" xr:uid="{00000000-0005-0000-0000-000003030000}"/>
    <cellStyle name="Обычный 7 7" xfId="975" xr:uid="{00000000-0005-0000-0000-000004030000}"/>
    <cellStyle name="Обычный 7 7 2" xfId="976" xr:uid="{00000000-0005-0000-0000-000005030000}"/>
    <cellStyle name="Обычный 7 7 3" xfId="977" xr:uid="{00000000-0005-0000-0000-000006030000}"/>
    <cellStyle name="Обычный 7 7 4" xfId="978" xr:uid="{00000000-0005-0000-0000-000007030000}"/>
    <cellStyle name="Обычный 7 7 5" xfId="979" xr:uid="{00000000-0005-0000-0000-000008030000}"/>
    <cellStyle name="Обычный 7 8" xfId="980" xr:uid="{00000000-0005-0000-0000-000009030000}"/>
    <cellStyle name="Обычный 7 9" xfId="192" xr:uid="{00000000-0005-0000-0000-00000A030000}"/>
    <cellStyle name="Обычный 8" xfId="981" xr:uid="{00000000-0005-0000-0000-00000B030000}"/>
    <cellStyle name="Обычный 8 2" xfId="920" xr:uid="{00000000-0005-0000-0000-00000C030000}"/>
    <cellStyle name="Обычный 9" xfId="982" xr:uid="{00000000-0005-0000-0000-00000D030000}"/>
    <cellStyle name="Обычный 9 2" xfId="984" xr:uid="{00000000-0005-0000-0000-00000E030000}"/>
    <cellStyle name="Процентный" xfId="13" builtinId="5"/>
    <cellStyle name="Стиль 1" xfId="693" xr:uid="{00000000-0005-0000-0000-000010030000}"/>
    <cellStyle name="Стиль 1 2" xfId="985" xr:uid="{00000000-0005-0000-0000-000011030000}"/>
    <cellStyle name="Стиль 1 2 2" xfId="986" xr:uid="{00000000-0005-0000-0000-000012030000}"/>
    <cellStyle name="Стиль 1 3" xfId="987" xr:uid="{00000000-0005-0000-0000-000013030000}"/>
    <cellStyle name="Стиль 1 3 2" xfId="988" xr:uid="{00000000-0005-0000-0000-000014030000}"/>
    <cellStyle name="Стиль 1 4" xfId="989" xr:uid="{00000000-0005-0000-0000-000015030000}"/>
    <cellStyle name="Стиль 1 4 2" xfId="990" xr:uid="{00000000-0005-0000-0000-000016030000}"/>
    <cellStyle name="Стиль 1 5" xfId="991" xr:uid="{00000000-0005-0000-0000-000017030000}"/>
    <cellStyle name="Стиль 1 5 2" xfId="993" xr:uid="{00000000-0005-0000-0000-000018030000}"/>
    <cellStyle name="Финансовый 2" xfId="994" xr:uid="{00000000-0005-0000-0000-000019030000}"/>
    <cellStyle name="Финансовый 2 10" xfId="995" xr:uid="{00000000-0005-0000-0000-00001A030000}"/>
    <cellStyle name="Финансовый 2 10 2" xfId="997" xr:uid="{00000000-0005-0000-0000-00001B030000}"/>
    <cellStyle name="Финансовый 2 2" xfId="221" xr:uid="{00000000-0005-0000-0000-00001C030000}"/>
    <cellStyle name="Финансовый 2 3" xfId="236" xr:uid="{00000000-0005-0000-0000-00001D030000}"/>
    <cellStyle name="Финансовый 2 4" xfId="260" xr:uid="{00000000-0005-0000-0000-00001E030000}"/>
    <cellStyle name="Финансовый 2 4 2" xfId="263" xr:uid="{00000000-0005-0000-0000-00001F030000}"/>
    <cellStyle name="Финансовый 2 5" xfId="272" xr:uid="{00000000-0005-0000-0000-000020030000}"/>
    <cellStyle name="Финансовый 2 5 2" xfId="998" xr:uid="{00000000-0005-0000-0000-000021030000}"/>
    <cellStyle name="Финансовый 2 6" xfId="274" xr:uid="{00000000-0005-0000-0000-000022030000}"/>
    <cellStyle name="Финансовый 2 6 2" xfId="999" xr:uid="{00000000-0005-0000-0000-000023030000}"/>
    <cellStyle name="Финансовый 2 7" xfId="276" xr:uid="{00000000-0005-0000-0000-000024030000}"/>
    <cellStyle name="Финансовый 2 7 2" xfId="1001" xr:uid="{00000000-0005-0000-0000-000025030000}"/>
    <cellStyle name="Финансовый 2 8" xfId="1003" xr:uid="{00000000-0005-0000-0000-000026030000}"/>
    <cellStyle name="Финансовый 2 8 2" xfId="1005" xr:uid="{00000000-0005-0000-0000-000027030000}"/>
    <cellStyle name="Финансовый 2 9" xfId="1007" xr:uid="{00000000-0005-0000-0000-000028030000}"/>
    <cellStyle name="Финансовый 2 9 2" xfId="1009" xr:uid="{00000000-0005-0000-0000-000029030000}"/>
    <cellStyle name="Финансовый 3" xfId="33" xr:uid="{00000000-0005-0000-0000-00002A030000}"/>
    <cellStyle name="Финансовый 4" xfId="1642" xr:uid="{00000000-0005-0000-0000-00002B030000}"/>
    <cellStyle name="Финансовый 5" xfId="1651" xr:uid="{00000000-0005-0000-0000-00002C030000}"/>
    <cellStyle name="千位分隔 10" xfId="1464" xr:uid="{00000000-0005-0000-0000-00002D030000}"/>
    <cellStyle name="千位分隔 10 2" xfId="1465" xr:uid="{00000000-0005-0000-0000-00002E030000}"/>
    <cellStyle name="千位分隔 10 2 2" xfId="1466" xr:uid="{00000000-0005-0000-0000-00002F030000}"/>
    <cellStyle name="千位分隔 10 2 3" xfId="1467" xr:uid="{00000000-0005-0000-0000-000030030000}"/>
    <cellStyle name="千位分隔 10 2 4" xfId="1468" xr:uid="{00000000-0005-0000-0000-000031030000}"/>
    <cellStyle name="千位分隔 10 2 5" xfId="1469" xr:uid="{00000000-0005-0000-0000-000032030000}"/>
    <cellStyle name="千位分隔 10 3" xfId="1470" xr:uid="{00000000-0005-0000-0000-000033030000}"/>
    <cellStyle name="千位分隔 10 4" xfId="1471" xr:uid="{00000000-0005-0000-0000-000034030000}"/>
    <cellStyle name="千位分隔 10 5" xfId="1472" xr:uid="{00000000-0005-0000-0000-000035030000}"/>
    <cellStyle name="千位分隔 10 6" xfId="1473" xr:uid="{00000000-0005-0000-0000-000036030000}"/>
    <cellStyle name="千位分隔 11" xfId="1474" xr:uid="{00000000-0005-0000-0000-000037030000}"/>
    <cellStyle name="千位分隔 11 2" xfId="1475" xr:uid="{00000000-0005-0000-0000-000038030000}"/>
    <cellStyle name="千位分隔 12" xfId="1476" xr:uid="{00000000-0005-0000-0000-000039030000}"/>
    <cellStyle name="千位分隔 12 2" xfId="46" xr:uid="{00000000-0005-0000-0000-00003A030000}"/>
    <cellStyle name="千位分隔 12 2 2" xfId="1328" xr:uid="{00000000-0005-0000-0000-00003B030000}"/>
    <cellStyle name="千位分隔 12 2 3" xfId="1477" xr:uid="{00000000-0005-0000-0000-00003C030000}"/>
    <cellStyle name="千位分隔 12 2 4" xfId="1478" xr:uid="{00000000-0005-0000-0000-00003D030000}"/>
    <cellStyle name="千位分隔 12 2 5" xfId="1479" xr:uid="{00000000-0005-0000-0000-00003E030000}"/>
    <cellStyle name="千位分隔 12 3" xfId="929" xr:uid="{00000000-0005-0000-0000-00003F030000}"/>
    <cellStyle name="千位分隔 12 4" xfId="1480" xr:uid="{00000000-0005-0000-0000-000040030000}"/>
    <cellStyle name="千位分隔 12 5" xfId="1481" xr:uid="{00000000-0005-0000-0000-000041030000}"/>
    <cellStyle name="千位分隔 12 6" xfId="1482" xr:uid="{00000000-0005-0000-0000-000042030000}"/>
    <cellStyle name="千位分隔 13" xfId="14" xr:uid="{00000000-0005-0000-0000-000043030000}"/>
    <cellStyle name="千位分隔 13 2" xfId="938" xr:uid="{00000000-0005-0000-0000-000044030000}"/>
    <cellStyle name="千位分隔 13 2 2" xfId="1383" xr:uid="{00000000-0005-0000-0000-000045030000}"/>
    <cellStyle name="千位分隔 13 2 3" xfId="1484" xr:uid="{00000000-0005-0000-0000-000046030000}"/>
    <cellStyle name="千位分隔 13 2 4" xfId="1485" xr:uid="{00000000-0005-0000-0000-000047030000}"/>
    <cellStyle name="千位分隔 13 2 5" xfId="1486" xr:uid="{00000000-0005-0000-0000-000048030000}"/>
    <cellStyle name="千位分隔 13 3" xfId="1487" xr:uid="{00000000-0005-0000-0000-000049030000}"/>
    <cellStyle name="千位分隔 13 4" xfId="1488" xr:uid="{00000000-0005-0000-0000-00004A030000}"/>
    <cellStyle name="千位分隔 13 5" xfId="1489" xr:uid="{00000000-0005-0000-0000-00004B030000}"/>
    <cellStyle name="千位分隔 13 6" xfId="1490" xr:uid="{00000000-0005-0000-0000-00004C030000}"/>
    <cellStyle name="千位分隔 13 7" xfId="1483" xr:uid="{00000000-0005-0000-0000-00004D030000}"/>
    <cellStyle name="千位分隔 14" xfId="1491" xr:uid="{00000000-0005-0000-0000-00004E030000}"/>
    <cellStyle name="千位分隔 14 2" xfId="1492" xr:uid="{00000000-0005-0000-0000-00004F030000}"/>
    <cellStyle name="千位分隔 14 2 2" xfId="1493" xr:uid="{00000000-0005-0000-0000-000050030000}"/>
    <cellStyle name="千位分隔 14 2 3" xfId="1494" xr:uid="{00000000-0005-0000-0000-000051030000}"/>
    <cellStyle name="千位分隔 14 2 4" xfId="1495" xr:uid="{00000000-0005-0000-0000-000052030000}"/>
    <cellStyle name="千位分隔 14 2 5" xfId="1496" xr:uid="{00000000-0005-0000-0000-000053030000}"/>
    <cellStyle name="千位分隔 14 3" xfId="1497" xr:uid="{00000000-0005-0000-0000-000054030000}"/>
    <cellStyle name="千位分隔 14 4" xfId="1498" xr:uid="{00000000-0005-0000-0000-000055030000}"/>
    <cellStyle name="千位分隔 14 5" xfId="1499" xr:uid="{00000000-0005-0000-0000-000056030000}"/>
    <cellStyle name="千位分隔 14 6" xfId="1500" xr:uid="{00000000-0005-0000-0000-000057030000}"/>
    <cellStyle name="千位分隔 15" xfId="9" xr:uid="{00000000-0005-0000-0000-000058030000}"/>
    <cellStyle name="千位分隔 15 2" xfId="1503" xr:uid="{00000000-0005-0000-0000-000059030000}"/>
    <cellStyle name="千位分隔 15 3" xfId="1504" xr:uid="{00000000-0005-0000-0000-00005A030000}"/>
    <cellStyle name="千位分隔 15 4" xfId="1505" xr:uid="{00000000-0005-0000-0000-00005B030000}"/>
    <cellStyle name="千位分隔 15 5" xfId="1506" xr:uid="{00000000-0005-0000-0000-00005C030000}"/>
    <cellStyle name="千位分隔 15 6" xfId="1502" xr:uid="{00000000-0005-0000-0000-00005D030000}"/>
    <cellStyle name="千位分隔 16" xfId="605" xr:uid="{00000000-0005-0000-0000-00005E030000}"/>
    <cellStyle name="千位分隔 17" xfId="624" xr:uid="{00000000-0005-0000-0000-00005F030000}"/>
    <cellStyle name="千位分隔 17 2" xfId="626" xr:uid="{00000000-0005-0000-0000-000060030000}"/>
    <cellStyle name="千位分隔 17 3" xfId="632" xr:uid="{00000000-0005-0000-0000-000061030000}"/>
    <cellStyle name="千位分隔 18" xfId="11" xr:uid="{00000000-0005-0000-0000-000062030000}"/>
    <cellStyle name="千位分隔 18 2" xfId="641" xr:uid="{00000000-0005-0000-0000-000063030000}"/>
    <cellStyle name="千位分隔 19" xfId="16" xr:uid="{00000000-0005-0000-0000-000064030000}"/>
    <cellStyle name="千位分隔 2" xfId="296" xr:uid="{00000000-0005-0000-0000-000065030000}"/>
    <cellStyle name="千位分隔 2 10" xfId="1507" xr:uid="{00000000-0005-0000-0000-000066030000}"/>
    <cellStyle name="千位分隔 2 11" xfId="1508" xr:uid="{00000000-0005-0000-0000-000067030000}"/>
    <cellStyle name="千位分隔 2 12" xfId="290" xr:uid="{00000000-0005-0000-0000-000068030000}"/>
    <cellStyle name="千位分隔 2 2" xfId="1509" xr:uid="{00000000-0005-0000-0000-000069030000}"/>
    <cellStyle name="千位分隔 2 2 2" xfId="1287" xr:uid="{00000000-0005-0000-0000-00006A030000}"/>
    <cellStyle name="千位分隔 2 2 2 2" xfId="1510" xr:uid="{00000000-0005-0000-0000-00006B030000}"/>
    <cellStyle name="千位分隔 2 2 2 2 2" xfId="1511" xr:uid="{00000000-0005-0000-0000-00006C030000}"/>
    <cellStyle name="千位分隔 2 2 2 2 2 2" xfId="1512" xr:uid="{00000000-0005-0000-0000-00006D030000}"/>
    <cellStyle name="千位分隔 2 2 2 2 2 3" xfId="1513" xr:uid="{00000000-0005-0000-0000-00006E030000}"/>
    <cellStyle name="千位分隔 2 2 2 2 2 4" xfId="1514" xr:uid="{00000000-0005-0000-0000-00006F030000}"/>
    <cellStyle name="千位分隔 2 2 2 2 2 5" xfId="1515" xr:uid="{00000000-0005-0000-0000-000070030000}"/>
    <cellStyle name="千位分隔 2 2 2 2 3" xfId="1516" xr:uid="{00000000-0005-0000-0000-000071030000}"/>
    <cellStyle name="千位分隔 2 2 2 2 4" xfId="1517" xr:uid="{00000000-0005-0000-0000-000072030000}"/>
    <cellStyle name="千位分隔 2 2 2 2 5" xfId="1518" xr:uid="{00000000-0005-0000-0000-000073030000}"/>
    <cellStyle name="千位分隔 2 2 2 2 6" xfId="1089" xr:uid="{00000000-0005-0000-0000-000074030000}"/>
    <cellStyle name="千位分隔 2 2 2 3" xfId="1519" xr:uid="{00000000-0005-0000-0000-000075030000}"/>
    <cellStyle name="千位分隔 2 2 2 3 2" xfId="1520" xr:uid="{00000000-0005-0000-0000-000076030000}"/>
    <cellStyle name="千位分隔 2 2 2 3 3" xfId="1521" xr:uid="{00000000-0005-0000-0000-000077030000}"/>
    <cellStyle name="千位分隔 2 2 2 3 4" xfId="1522" xr:uid="{00000000-0005-0000-0000-000078030000}"/>
    <cellStyle name="千位分隔 2 2 2 3 5" xfId="1523" xr:uid="{00000000-0005-0000-0000-000079030000}"/>
    <cellStyle name="千位分隔 2 2 2 4" xfId="1524" xr:uid="{00000000-0005-0000-0000-00007A030000}"/>
    <cellStyle name="千位分隔 2 2 2 5" xfId="1525" xr:uid="{00000000-0005-0000-0000-00007B030000}"/>
    <cellStyle name="千位分隔 2 2 2 6" xfId="1526" xr:uid="{00000000-0005-0000-0000-00007C030000}"/>
    <cellStyle name="千位分隔 2 2 2 7" xfId="1527" xr:uid="{00000000-0005-0000-0000-00007D030000}"/>
    <cellStyle name="千位分隔 2 2 3" xfId="1528" xr:uid="{00000000-0005-0000-0000-00007E030000}"/>
    <cellStyle name="千位分隔 2 2 3 2" xfId="1529" xr:uid="{00000000-0005-0000-0000-00007F030000}"/>
    <cellStyle name="千位分隔 2 2 3 2 2" xfId="1530" xr:uid="{00000000-0005-0000-0000-000080030000}"/>
    <cellStyle name="千位分隔 2 2 3 2 3" xfId="1531" xr:uid="{00000000-0005-0000-0000-000081030000}"/>
    <cellStyle name="千位分隔 2 2 3 2 4" xfId="1532" xr:uid="{00000000-0005-0000-0000-000082030000}"/>
    <cellStyle name="千位分隔 2 2 3 2 5" xfId="1533" xr:uid="{00000000-0005-0000-0000-000083030000}"/>
    <cellStyle name="千位分隔 2 2 3 3" xfId="1534" xr:uid="{00000000-0005-0000-0000-000084030000}"/>
    <cellStyle name="千位分隔 2 2 3 4" xfId="1535" xr:uid="{00000000-0005-0000-0000-000085030000}"/>
    <cellStyle name="千位分隔 2 2 3 5" xfId="1536" xr:uid="{00000000-0005-0000-0000-000086030000}"/>
    <cellStyle name="千位分隔 2 2 3 6" xfId="1537" xr:uid="{00000000-0005-0000-0000-000087030000}"/>
    <cellStyle name="千位分隔 2 2 4" xfId="992" xr:uid="{00000000-0005-0000-0000-000088030000}"/>
    <cellStyle name="千位分隔 2 2 4 2" xfId="62" xr:uid="{00000000-0005-0000-0000-000089030000}"/>
    <cellStyle name="千位分隔 2 2 4 3" xfId="64" xr:uid="{00000000-0005-0000-0000-00008A030000}"/>
    <cellStyle name="千位分隔 2 2 4 4" xfId="68" xr:uid="{00000000-0005-0000-0000-00008B030000}"/>
    <cellStyle name="千位分隔 2 2 4 5" xfId="72" xr:uid="{00000000-0005-0000-0000-00008C030000}"/>
    <cellStyle name="千位分隔 2 2 5" xfId="1203" xr:uid="{00000000-0005-0000-0000-00008D030000}"/>
    <cellStyle name="千位分隔 2 2 6" xfId="1205" xr:uid="{00000000-0005-0000-0000-00008E030000}"/>
    <cellStyle name="千位分隔 2 2 7" xfId="512" xr:uid="{00000000-0005-0000-0000-00008F030000}"/>
    <cellStyle name="千位分隔 2 2 8" xfId="1207" xr:uid="{00000000-0005-0000-0000-000090030000}"/>
    <cellStyle name="千位分隔 2 3" xfId="7" xr:uid="{00000000-0005-0000-0000-000091030000}"/>
    <cellStyle name="千位分隔 2 3 2" xfId="1300" xr:uid="{00000000-0005-0000-0000-000092030000}"/>
    <cellStyle name="千位分隔 2 3 2 2" xfId="1539" xr:uid="{00000000-0005-0000-0000-000093030000}"/>
    <cellStyle name="千位分隔 2 3 2 2 2" xfId="724" xr:uid="{00000000-0005-0000-0000-000094030000}"/>
    <cellStyle name="千位分隔 2 3 2 2 3" xfId="727" xr:uid="{00000000-0005-0000-0000-000095030000}"/>
    <cellStyle name="千位分隔 2 3 2 2 4" xfId="1540" xr:uid="{00000000-0005-0000-0000-000096030000}"/>
    <cellStyle name="千位分隔 2 3 2 2 5" xfId="1541" xr:uid="{00000000-0005-0000-0000-000097030000}"/>
    <cellStyle name="千位分隔 2 3 2 3" xfId="1542" xr:uid="{00000000-0005-0000-0000-000098030000}"/>
    <cellStyle name="千位分隔 2 3 2 4" xfId="1543" xr:uid="{00000000-0005-0000-0000-000099030000}"/>
    <cellStyle name="千位分隔 2 3 2 5" xfId="1544" xr:uid="{00000000-0005-0000-0000-00009A030000}"/>
    <cellStyle name="千位分隔 2 3 2 6" xfId="1545" xr:uid="{00000000-0005-0000-0000-00009B030000}"/>
    <cellStyle name="千位分隔 2 3 3" xfId="1546" xr:uid="{00000000-0005-0000-0000-00009C030000}"/>
    <cellStyle name="千位分隔 2 3 3 2" xfId="1547" xr:uid="{00000000-0005-0000-0000-00009D030000}"/>
    <cellStyle name="千位分隔 2 3 3 3" xfId="1548" xr:uid="{00000000-0005-0000-0000-00009E030000}"/>
    <cellStyle name="千位分隔 2 3 3 4" xfId="1549" xr:uid="{00000000-0005-0000-0000-00009F030000}"/>
    <cellStyle name="千位分隔 2 3 3 5" xfId="1550" xr:uid="{00000000-0005-0000-0000-0000A0030000}"/>
    <cellStyle name="千位分隔 2 3 4" xfId="1551" xr:uid="{00000000-0005-0000-0000-0000A1030000}"/>
    <cellStyle name="千位分隔 2 3 5" xfId="1552" xr:uid="{00000000-0005-0000-0000-0000A2030000}"/>
    <cellStyle name="千位分隔 2 3 6" xfId="1553" xr:uid="{00000000-0005-0000-0000-0000A3030000}"/>
    <cellStyle name="千位分隔 2 3 7" xfId="187" xr:uid="{00000000-0005-0000-0000-0000A4030000}"/>
    <cellStyle name="千位分隔 2 3 8" xfId="1538" xr:uid="{00000000-0005-0000-0000-0000A5030000}"/>
    <cellStyle name="千位分隔 2 4" xfId="544" xr:uid="{00000000-0005-0000-0000-0000A6030000}"/>
    <cellStyle name="千位分隔 2 4 2" xfId="547" xr:uid="{00000000-0005-0000-0000-0000A7030000}"/>
    <cellStyle name="千位分隔 2 4 2 2" xfId="1554" xr:uid="{00000000-0005-0000-0000-0000A8030000}"/>
    <cellStyle name="千位分隔 2 4 2 3" xfId="1555" xr:uid="{00000000-0005-0000-0000-0000A9030000}"/>
    <cellStyle name="千位分隔 2 4 2 4" xfId="1556" xr:uid="{00000000-0005-0000-0000-0000AA030000}"/>
    <cellStyle name="千位分隔 2 4 2 5" xfId="1557" xr:uid="{00000000-0005-0000-0000-0000AB030000}"/>
    <cellStyle name="千位分隔 2 4 3" xfId="550" xr:uid="{00000000-0005-0000-0000-0000AC030000}"/>
    <cellStyle name="千位分隔 2 4 4" xfId="34" xr:uid="{00000000-0005-0000-0000-0000AD030000}"/>
    <cellStyle name="千位分隔 2 4 5" xfId="194" xr:uid="{00000000-0005-0000-0000-0000AE030000}"/>
    <cellStyle name="千位分隔 2 4 6" xfId="197" xr:uid="{00000000-0005-0000-0000-0000AF030000}"/>
    <cellStyle name="千位分隔 2 5" xfId="579" xr:uid="{00000000-0005-0000-0000-0000B0030000}"/>
    <cellStyle name="千位分隔 2 5 2" xfId="349" xr:uid="{00000000-0005-0000-0000-0000B1030000}"/>
    <cellStyle name="千位分隔 2 5 2 2" xfId="354" xr:uid="{00000000-0005-0000-0000-0000B2030000}"/>
    <cellStyle name="千位分隔 2 5 2 3" xfId="357" xr:uid="{00000000-0005-0000-0000-0000B3030000}"/>
    <cellStyle name="千位分隔 2 5 2 4" xfId="360" xr:uid="{00000000-0005-0000-0000-0000B4030000}"/>
    <cellStyle name="千位分隔 2 5 2 5" xfId="315" xr:uid="{00000000-0005-0000-0000-0000B5030000}"/>
    <cellStyle name="千位分隔 2 5 3" xfId="90" xr:uid="{00000000-0005-0000-0000-0000B6030000}"/>
    <cellStyle name="千位分隔 2 5 4" xfId="586" xr:uid="{00000000-0005-0000-0000-0000B7030000}"/>
    <cellStyle name="千位分隔 2 5 5" xfId="591" xr:uid="{00000000-0005-0000-0000-0000B8030000}"/>
    <cellStyle name="千位分隔 2 5 6" xfId="593" xr:uid="{00000000-0005-0000-0000-0000B9030000}"/>
    <cellStyle name="千位分隔 2 6" xfId="28" xr:uid="{00000000-0005-0000-0000-0000BA030000}"/>
    <cellStyle name="千位分隔 2 6 2" xfId="1558" xr:uid="{00000000-0005-0000-0000-0000BB030000}"/>
    <cellStyle name="千位分隔 2 6 2 2" xfId="1559" xr:uid="{00000000-0005-0000-0000-0000BC030000}"/>
    <cellStyle name="千位分隔 2 6 2 3" xfId="1560" xr:uid="{00000000-0005-0000-0000-0000BD030000}"/>
    <cellStyle name="千位分隔 2 6 2 4" xfId="1561" xr:uid="{00000000-0005-0000-0000-0000BE030000}"/>
    <cellStyle name="千位分隔 2 6 2 5" xfId="1562" xr:uid="{00000000-0005-0000-0000-0000BF030000}"/>
    <cellStyle name="千位分隔 2 6 3" xfId="1563" xr:uid="{00000000-0005-0000-0000-0000C0030000}"/>
    <cellStyle name="千位分隔 2 6 4" xfId="1564" xr:uid="{00000000-0005-0000-0000-0000C1030000}"/>
    <cellStyle name="千位分隔 2 6 5" xfId="1565" xr:uid="{00000000-0005-0000-0000-0000C2030000}"/>
    <cellStyle name="千位分隔 2 6 6" xfId="1566" xr:uid="{00000000-0005-0000-0000-0000C3030000}"/>
    <cellStyle name="千位分隔 2 7" xfId="596" xr:uid="{00000000-0005-0000-0000-0000C4030000}"/>
    <cellStyle name="千位分隔 2 7 2" xfId="1567" xr:uid="{00000000-0005-0000-0000-0000C5030000}"/>
    <cellStyle name="千位分隔 2 7 3" xfId="1568" xr:uid="{00000000-0005-0000-0000-0000C6030000}"/>
    <cellStyle name="千位分隔 2 7 4" xfId="1569" xr:uid="{00000000-0005-0000-0000-0000C7030000}"/>
    <cellStyle name="千位分隔 2 7 5" xfId="1570" xr:uid="{00000000-0005-0000-0000-0000C8030000}"/>
    <cellStyle name="千位分隔 2 8" xfId="598" xr:uid="{00000000-0005-0000-0000-0000C9030000}"/>
    <cellStyle name="千位分隔 2 8 2" xfId="1571" xr:uid="{00000000-0005-0000-0000-0000CA030000}"/>
    <cellStyle name="千位分隔 2 8 3" xfId="1572" xr:uid="{00000000-0005-0000-0000-0000CB030000}"/>
    <cellStyle name="千位分隔 2 8 4" xfId="996" xr:uid="{00000000-0005-0000-0000-0000CC030000}"/>
    <cellStyle name="千位分隔 2 8 5" xfId="1573" xr:uid="{00000000-0005-0000-0000-0000CD030000}"/>
    <cellStyle name="千位分隔 2 9" xfId="510" xr:uid="{00000000-0005-0000-0000-0000CE030000}"/>
    <cellStyle name="千位分隔 2 9 2" xfId="1574" xr:uid="{00000000-0005-0000-0000-0000CF030000}"/>
    <cellStyle name="千位分隔 2 9 3" xfId="1575" xr:uid="{00000000-0005-0000-0000-0000D0030000}"/>
    <cellStyle name="千位分隔 2 9 4" xfId="1576" xr:uid="{00000000-0005-0000-0000-0000D1030000}"/>
    <cellStyle name="千位分隔 20" xfId="15" xr:uid="{00000000-0005-0000-0000-0000D2030000}"/>
    <cellStyle name="千位分隔 20 2" xfId="1501" xr:uid="{00000000-0005-0000-0000-0000D3030000}"/>
    <cellStyle name="千位分隔 21" xfId="604" xr:uid="{00000000-0005-0000-0000-0000D4030000}"/>
    <cellStyle name="千位分隔 22" xfId="623" xr:uid="{00000000-0005-0000-0000-0000D5030000}"/>
    <cellStyle name="千位分隔 23" xfId="640" xr:uid="{00000000-0005-0000-0000-0000D6030000}"/>
    <cellStyle name="千位分隔 24" xfId="649" xr:uid="{00000000-0005-0000-0000-0000D7030000}"/>
    <cellStyle name="千位分隔 25" xfId="651" xr:uid="{00000000-0005-0000-0000-0000D8030000}"/>
    <cellStyle name="千位分隔 3" xfId="299" xr:uid="{00000000-0005-0000-0000-0000D9030000}"/>
    <cellStyle name="千位分隔 3 2" xfId="1577" xr:uid="{00000000-0005-0000-0000-0000DA030000}"/>
    <cellStyle name="千位分隔 3 2 2" xfId="1578" xr:uid="{00000000-0005-0000-0000-0000DB030000}"/>
    <cellStyle name="千位分隔 3 2 2 2" xfId="900" xr:uid="{00000000-0005-0000-0000-0000DC030000}"/>
    <cellStyle name="千位分隔 3 2 2 2 2" xfId="1579" xr:uid="{00000000-0005-0000-0000-0000DD030000}"/>
    <cellStyle name="千位分隔 3 2 2 2 3" xfId="1580" xr:uid="{00000000-0005-0000-0000-0000DE030000}"/>
    <cellStyle name="千位分隔 3 2 2 2 4" xfId="1581" xr:uid="{00000000-0005-0000-0000-0000DF030000}"/>
    <cellStyle name="千位分隔 3 2 2 2 5" xfId="1582" xr:uid="{00000000-0005-0000-0000-0000E0030000}"/>
    <cellStyle name="千位分隔 3 2 2 3" xfId="902" xr:uid="{00000000-0005-0000-0000-0000E1030000}"/>
    <cellStyle name="千位分隔 3 2 2 4" xfId="904" xr:uid="{00000000-0005-0000-0000-0000E2030000}"/>
    <cellStyle name="千位分隔 3 2 2 5" xfId="1583" xr:uid="{00000000-0005-0000-0000-0000E3030000}"/>
    <cellStyle name="千位分隔 3 2 2 6" xfId="1584" xr:uid="{00000000-0005-0000-0000-0000E4030000}"/>
    <cellStyle name="千位分隔 3 2 3" xfId="1585" xr:uid="{00000000-0005-0000-0000-0000E5030000}"/>
    <cellStyle name="千位分隔 3 2 3 2" xfId="1586" xr:uid="{00000000-0005-0000-0000-0000E6030000}"/>
    <cellStyle name="千位分隔 3 2 3 3" xfId="1587" xr:uid="{00000000-0005-0000-0000-0000E7030000}"/>
    <cellStyle name="千位分隔 3 2 3 4" xfId="1588" xr:uid="{00000000-0005-0000-0000-0000E8030000}"/>
    <cellStyle name="千位分隔 3 2 3 5" xfId="1589" xr:uid="{00000000-0005-0000-0000-0000E9030000}"/>
    <cellStyle name="千位分隔 3 2 4" xfId="1590" xr:uid="{00000000-0005-0000-0000-0000EA030000}"/>
    <cellStyle name="千位分隔 3 2 5" xfId="1591" xr:uid="{00000000-0005-0000-0000-0000EB030000}"/>
    <cellStyle name="千位分隔 3 2 6" xfId="1592" xr:uid="{00000000-0005-0000-0000-0000EC030000}"/>
    <cellStyle name="千位分隔 3 2 7" xfId="1593" xr:uid="{00000000-0005-0000-0000-0000ED030000}"/>
    <cellStyle name="千位分隔 3 3" xfId="1594" xr:uid="{00000000-0005-0000-0000-0000EE030000}"/>
    <cellStyle name="千位分隔 3 3 2" xfId="1595" xr:uid="{00000000-0005-0000-0000-0000EF030000}"/>
    <cellStyle name="千位分隔 3 3 2 2" xfId="1596" xr:uid="{00000000-0005-0000-0000-0000F0030000}"/>
    <cellStyle name="千位分隔 3 3 2 3" xfId="1597" xr:uid="{00000000-0005-0000-0000-0000F1030000}"/>
    <cellStyle name="千位分隔 3 3 2 4" xfId="1598" xr:uid="{00000000-0005-0000-0000-0000F2030000}"/>
    <cellStyle name="千位分隔 3 3 2 5" xfId="1599" xr:uid="{00000000-0005-0000-0000-0000F3030000}"/>
    <cellStyle name="千位分隔 3 3 3" xfId="1600" xr:uid="{00000000-0005-0000-0000-0000F4030000}"/>
    <cellStyle name="千位分隔 3 3 4" xfId="1601" xr:uid="{00000000-0005-0000-0000-0000F5030000}"/>
    <cellStyle name="千位分隔 3 3 5" xfId="1602" xr:uid="{00000000-0005-0000-0000-0000F6030000}"/>
    <cellStyle name="千位分隔 3 3 6" xfId="1603" xr:uid="{00000000-0005-0000-0000-0000F7030000}"/>
    <cellStyle name="千位分隔 3 4" xfId="601" xr:uid="{00000000-0005-0000-0000-0000F8030000}"/>
    <cellStyle name="千位分隔 3 4 2" xfId="43" xr:uid="{00000000-0005-0000-0000-0000F9030000}"/>
    <cellStyle name="千位分隔 3 4 3" xfId="655" xr:uid="{00000000-0005-0000-0000-0000FA030000}"/>
    <cellStyle name="千位分隔 3 4 4" xfId="680" xr:uid="{00000000-0005-0000-0000-0000FB030000}"/>
    <cellStyle name="千位分隔 3 4 5" xfId="695" xr:uid="{00000000-0005-0000-0000-0000FC030000}"/>
    <cellStyle name="千位分隔 3 5" xfId="714" xr:uid="{00000000-0005-0000-0000-0000FD030000}"/>
    <cellStyle name="千位分隔 3 6" xfId="717" xr:uid="{00000000-0005-0000-0000-0000FE030000}"/>
    <cellStyle name="千位分隔 3 7" xfId="720" xr:uid="{00000000-0005-0000-0000-0000FF030000}"/>
    <cellStyle name="千位分隔 3 8" xfId="723" xr:uid="{00000000-0005-0000-0000-000000040000}"/>
    <cellStyle name="千位分隔 4" xfId="1604" xr:uid="{00000000-0005-0000-0000-000001040000}"/>
    <cellStyle name="千位分隔 4 2" xfId="884" xr:uid="{00000000-0005-0000-0000-000002040000}"/>
    <cellStyle name="千位分隔 4 2 2" xfId="886" xr:uid="{00000000-0005-0000-0000-000003040000}"/>
    <cellStyle name="千位分隔 4 2 2 2" xfId="1389" xr:uid="{00000000-0005-0000-0000-000004040000}"/>
    <cellStyle name="千位分隔 4 2 2 2 2" xfId="1605" xr:uid="{00000000-0005-0000-0000-000005040000}"/>
    <cellStyle name="千位分隔 4 2 2 2 3" xfId="1606" xr:uid="{00000000-0005-0000-0000-000006040000}"/>
    <cellStyle name="千位分隔 4 2 2 2 4" xfId="1607" xr:uid="{00000000-0005-0000-0000-000007040000}"/>
    <cellStyle name="千位分隔 4 2 2 2 5" xfId="1608" xr:uid="{00000000-0005-0000-0000-000008040000}"/>
    <cellStyle name="千位分隔 4 2 2 3" xfId="1392" xr:uid="{00000000-0005-0000-0000-000009040000}"/>
    <cellStyle name="千位分隔 4 2 2 4" xfId="1609" xr:uid="{00000000-0005-0000-0000-00000A040000}"/>
    <cellStyle name="千位分隔 4 2 2 5" xfId="1610" xr:uid="{00000000-0005-0000-0000-00000B040000}"/>
    <cellStyle name="千位分隔 4 2 2 6" xfId="1611" xr:uid="{00000000-0005-0000-0000-00000C040000}"/>
    <cellStyle name="千位分隔 4 2 3" xfId="888" xr:uid="{00000000-0005-0000-0000-00000D040000}"/>
    <cellStyle name="千位分隔 4 2 3 2" xfId="1411" xr:uid="{00000000-0005-0000-0000-00000E040000}"/>
    <cellStyle name="千位分隔 4 2 3 3" xfId="1612" xr:uid="{00000000-0005-0000-0000-00000F040000}"/>
    <cellStyle name="千位分隔 4 2 3 4" xfId="1613" xr:uid="{00000000-0005-0000-0000-000010040000}"/>
    <cellStyle name="千位分隔 4 2 3 5" xfId="1614" xr:uid="{00000000-0005-0000-0000-000011040000}"/>
    <cellStyle name="千位分隔 4 2 4" xfId="890" xr:uid="{00000000-0005-0000-0000-000012040000}"/>
    <cellStyle name="千位分隔 4 2 5" xfId="892" xr:uid="{00000000-0005-0000-0000-000013040000}"/>
    <cellStyle name="千位分隔 4 2 6" xfId="1615" xr:uid="{00000000-0005-0000-0000-000014040000}"/>
    <cellStyle name="千位分隔 4 2 7" xfId="1616" xr:uid="{00000000-0005-0000-0000-000015040000}"/>
    <cellStyle name="千位分隔 4 3" xfId="894" xr:uid="{00000000-0005-0000-0000-000016040000}"/>
    <cellStyle name="千位分隔 4 3 2" xfId="1617" xr:uid="{00000000-0005-0000-0000-000017040000}"/>
    <cellStyle name="千位分隔 4 3 2 2" xfId="1435" xr:uid="{00000000-0005-0000-0000-000018040000}"/>
    <cellStyle name="千位分隔 4 3 2 3" xfId="1437" xr:uid="{00000000-0005-0000-0000-000019040000}"/>
    <cellStyle name="千位分隔 4 3 2 4" xfId="1618" xr:uid="{00000000-0005-0000-0000-00001A040000}"/>
    <cellStyle name="千位分隔 4 3 2 5" xfId="1619" xr:uid="{00000000-0005-0000-0000-00001B040000}"/>
    <cellStyle name="千位分隔 4 3 3" xfId="1620" xr:uid="{00000000-0005-0000-0000-00001C040000}"/>
    <cellStyle name="千位分隔 4 3 4" xfId="1621" xr:uid="{00000000-0005-0000-0000-00001D040000}"/>
    <cellStyle name="千位分隔 4 3 5" xfId="1622" xr:uid="{00000000-0005-0000-0000-00001E040000}"/>
    <cellStyle name="千位分隔 4 3 6" xfId="1623" xr:uid="{00000000-0005-0000-0000-00001F040000}"/>
    <cellStyle name="千位分隔 4 4" xfId="733" xr:uid="{00000000-0005-0000-0000-000020040000}"/>
    <cellStyle name="千位分隔 4 4 2" xfId="736" xr:uid="{00000000-0005-0000-0000-000021040000}"/>
    <cellStyle name="千位分隔 4 4 3" xfId="761" xr:uid="{00000000-0005-0000-0000-000022040000}"/>
    <cellStyle name="千位分隔 4 4 4" xfId="773" xr:uid="{00000000-0005-0000-0000-000023040000}"/>
    <cellStyle name="千位分隔 4 4 5" xfId="780" xr:uid="{00000000-0005-0000-0000-000024040000}"/>
    <cellStyle name="千位分隔 4 5" xfId="788" xr:uid="{00000000-0005-0000-0000-000025040000}"/>
    <cellStyle name="千位分隔 4 6" xfId="809" xr:uid="{00000000-0005-0000-0000-000026040000}"/>
    <cellStyle name="千位分隔 4 7" xfId="821" xr:uid="{00000000-0005-0000-0000-000027040000}"/>
    <cellStyle name="千位分隔 4 8" xfId="844" xr:uid="{00000000-0005-0000-0000-000028040000}"/>
    <cellStyle name="千位分隔 5" xfId="1624" xr:uid="{00000000-0005-0000-0000-000029040000}"/>
    <cellStyle name="千位分隔 5 2" xfId="906" xr:uid="{00000000-0005-0000-0000-00002A040000}"/>
    <cellStyle name="千位分隔 6" xfId="1102" xr:uid="{00000000-0005-0000-0000-00002B040000}"/>
    <cellStyle name="千位分隔 6 2" xfId="916" xr:uid="{00000000-0005-0000-0000-00002C040000}"/>
    <cellStyle name="千位分隔 7" xfId="1625" xr:uid="{00000000-0005-0000-0000-00002D040000}"/>
    <cellStyle name="千位分隔 7 2" xfId="1626" xr:uid="{00000000-0005-0000-0000-00002E040000}"/>
    <cellStyle name="千位分隔 7 2 2" xfId="1627" xr:uid="{00000000-0005-0000-0000-00002F040000}"/>
    <cellStyle name="千位分隔 7 2 2 2" xfId="1628" xr:uid="{00000000-0005-0000-0000-000030040000}"/>
    <cellStyle name="千位分隔 7 2 2 3" xfId="1629" xr:uid="{00000000-0005-0000-0000-000031040000}"/>
    <cellStyle name="千位分隔 7 2 2 4" xfId="1630" xr:uid="{00000000-0005-0000-0000-000032040000}"/>
    <cellStyle name="千位分隔 7 2 2 5" xfId="1631" xr:uid="{00000000-0005-0000-0000-000033040000}"/>
    <cellStyle name="千位分隔 7 2 3" xfId="657" xr:uid="{00000000-0005-0000-0000-000034040000}"/>
    <cellStyle name="千位分隔 7 2 4" xfId="668" xr:uid="{00000000-0005-0000-0000-000035040000}"/>
    <cellStyle name="千位分隔 7 2 5" xfId="674" xr:uid="{00000000-0005-0000-0000-000036040000}"/>
    <cellStyle name="千位分隔 7 2 6" xfId="676" xr:uid="{00000000-0005-0000-0000-000037040000}"/>
    <cellStyle name="千位分隔 7 3" xfId="1632" xr:uid="{00000000-0005-0000-0000-000038040000}"/>
    <cellStyle name="千位分隔 7 3 2" xfId="1633" xr:uid="{00000000-0005-0000-0000-000039040000}"/>
    <cellStyle name="千位分隔 7 3 3" xfId="682" xr:uid="{00000000-0005-0000-0000-00003A040000}"/>
    <cellStyle name="千位分隔 7 3 4" xfId="688" xr:uid="{00000000-0005-0000-0000-00003B040000}"/>
    <cellStyle name="千位分隔 7 3 5" xfId="690" xr:uid="{00000000-0005-0000-0000-00003C040000}"/>
    <cellStyle name="千位分隔 7 4" xfId="983" xr:uid="{00000000-0005-0000-0000-00003D040000}"/>
    <cellStyle name="千位分隔 7 5" xfId="1634" xr:uid="{00000000-0005-0000-0000-00003E040000}"/>
    <cellStyle name="千位分隔 7 6" xfId="1635" xr:uid="{00000000-0005-0000-0000-00003F040000}"/>
    <cellStyle name="千位分隔 7 7" xfId="1636" xr:uid="{00000000-0005-0000-0000-000040040000}"/>
    <cellStyle name="千位分隔 8" xfId="1637" xr:uid="{00000000-0005-0000-0000-000041040000}"/>
    <cellStyle name="千位分隔 8 2" xfId="1638" xr:uid="{00000000-0005-0000-0000-000042040000}"/>
    <cellStyle name="千位分隔 8 3" xfId="1639" xr:uid="{00000000-0005-0000-0000-000043040000}"/>
    <cellStyle name="千位分隔 9" xfId="1640" xr:uid="{00000000-0005-0000-0000-000044040000}"/>
    <cellStyle name="常规 10" xfId="439" xr:uid="{00000000-0005-0000-0000-000045040000}"/>
    <cellStyle name="常规 10 10" xfId="1010" xr:uid="{00000000-0005-0000-0000-000046040000}"/>
    <cellStyle name="常规 10 11" xfId="1011" xr:uid="{00000000-0005-0000-0000-000047040000}"/>
    <cellStyle name="常规 10 12" xfId="1654" xr:uid="{00000000-0005-0000-0000-000048040000}"/>
    <cellStyle name="常规 10 2" xfId="441" xr:uid="{00000000-0005-0000-0000-000049040000}"/>
    <cellStyle name="常规 10 2 2" xfId="443" xr:uid="{00000000-0005-0000-0000-00004A040000}"/>
    <cellStyle name="常规 10 2 2 2" xfId="1012" xr:uid="{00000000-0005-0000-0000-00004B040000}"/>
    <cellStyle name="常规 10 2 2 2 2" xfId="1013" xr:uid="{00000000-0005-0000-0000-00004C040000}"/>
    <cellStyle name="常规 10 2 2 2 2 2" xfId="1014" xr:uid="{00000000-0005-0000-0000-00004D040000}"/>
    <cellStyle name="常规 10 2 2 2 3" xfId="1015" xr:uid="{00000000-0005-0000-0000-00004E040000}"/>
    <cellStyle name="常规 10 2 2 2 4" xfId="1016" xr:uid="{00000000-0005-0000-0000-00004F040000}"/>
    <cellStyle name="常规 10 2 2 2 5" xfId="1017" xr:uid="{00000000-0005-0000-0000-000050040000}"/>
    <cellStyle name="常规 10 2 2 2 6" xfId="1018" xr:uid="{00000000-0005-0000-0000-000051040000}"/>
    <cellStyle name="常规 10 2 2 3" xfId="1019" xr:uid="{00000000-0005-0000-0000-000052040000}"/>
    <cellStyle name="常规 10 2 2 3 2" xfId="1020" xr:uid="{00000000-0005-0000-0000-000053040000}"/>
    <cellStyle name="常规 10 2 2 4" xfId="1021" xr:uid="{00000000-0005-0000-0000-000054040000}"/>
    <cellStyle name="常规 10 2 2 5" xfId="1022" xr:uid="{00000000-0005-0000-0000-000055040000}"/>
    <cellStyle name="常规 10 2 2 6" xfId="1023" xr:uid="{00000000-0005-0000-0000-000056040000}"/>
    <cellStyle name="常规 10 2 3" xfId="445" xr:uid="{00000000-0005-0000-0000-000057040000}"/>
    <cellStyle name="常规 10 2 3 2" xfId="556" xr:uid="{00000000-0005-0000-0000-000058040000}"/>
    <cellStyle name="常规 10 2 3 2 2" xfId="1024" xr:uid="{00000000-0005-0000-0000-000059040000}"/>
    <cellStyle name="常规 10 2 3 2 2 2" xfId="1025" xr:uid="{00000000-0005-0000-0000-00005A040000}"/>
    <cellStyle name="常规 10 2 3 2 3" xfId="1026" xr:uid="{00000000-0005-0000-0000-00005B040000}"/>
    <cellStyle name="常规 10 2 3 2 4" xfId="1027" xr:uid="{00000000-0005-0000-0000-00005C040000}"/>
    <cellStyle name="常规 10 2 3 2 5" xfId="1028" xr:uid="{00000000-0005-0000-0000-00005D040000}"/>
    <cellStyle name="常规 10 2 3 2 6" xfId="1029" xr:uid="{00000000-0005-0000-0000-00005E040000}"/>
    <cellStyle name="常规 10 2 3 3" xfId="1030" xr:uid="{00000000-0005-0000-0000-00005F040000}"/>
    <cellStyle name="常规 10 2 3 3 2" xfId="1031" xr:uid="{00000000-0005-0000-0000-000060040000}"/>
    <cellStyle name="常规 10 2 3 4" xfId="1032" xr:uid="{00000000-0005-0000-0000-000061040000}"/>
    <cellStyle name="常规 10 2 3 5" xfId="1033" xr:uid="{00000000-0005-0000-0000-000062040000}"/>
    <cellStyle name="常规 10 2 3 6" xfId="1034" xr:uid="{00000000-0005-0000-0000-000063040000}"/>
    <cellStyle name="常规 10 2 4" xfId="169" xr:uid="{00000000-0005-0000-0000-000064040000}"/>
    <cellStyle name="常规 10 2 4 2" xfId="490" xr:uid="{00000000-0005-0000-0000-000065040000}"/>
    <cellStyle name="常规 10 2 4 2 2" xfId="1035" xr:uid="{00000000-0005-0000-0000-000066040000}"/>
    <cellStyle name="常规 10 2 4 2 2 2" xfId="459" xr:uid="{00000000-0005-0000-0000-000067040000}"/>
    <cellStyle name="常规 10 2 4 2 3" xfId="1036" xr:uid="{00000000-0005-0000-0000-000068040000}"/>
    <cellStyle name="常规 10 2 4 2 4" xfId="1037" xr:uid="{00000000-0005-0000-0000-000069040000}"/>
    <cellStyle name="常规 10 2 4 2 5" xfId="1038" xr:uid="{00000000-0005-0000-0000-00006A040000}"/>
    <cellStyle name="常规 10 2 4 3" xfId="1039" xr:uid="{00000000-0005-0000-0000-00006B040000}"/>
    <cellStyle name="常规 10 2 4 3 2" xfId="1040" xr:uid="{00000000-0005-0000-0000-00006C040000}"/>
    <cellStyle name="常规 10 2 4 3 2 2" xfId="1041" xr:uid="{00000000-0005-0000-0000-00006D040000}"/>
    <cellStyle name="常规 10 2 4 3 3" xfId="1042" xr:uid="{00000000-0005-0000-0000-00006E040000}"/>
    <cellStyle name="常规 10 2 4 3 4" xfId="1043" xr:uid="{00000000-0005-0000-0000-00006F040000}"/>
    <cellStyle name="常规 10 2 4 3 5" xfId="1044" xr:uid="{00000000-0005-0000-0000-000070040000}"/>
    <cellStyle name="常规 10 2 4 3 6" xfId="1046" xr:uid="{00000000-0005-0000-0000-000071040000}"/>
    <cellStyle name="常规 10 2 4 4" xfId="1047" xr:uid="{00000000-0005-0000-0000-000072040000}"/>
    <cellStyle name="常规 10 2 4 4 2" xfId="1048" xr:uid="{00000000-0005-0000-0000-000073040000}"/>
    <cellStyle name="常规 10 2 4 5" xfId="1049" xr:uid="{00000000-0005-0000-0000-000074040000}"/>
    <cellStyle name="常规 10 2 4 6" xfId="1050" xr:uid="{00000000-0005-0000-0000-000075040000}"/>
    <cellStyle name="常规 10 2 4 7" xfId="1051" xr:uid="{00000000-0005-0000-0000-000076040000}"/>
    <cellStyle name="常规 10 2 5" xfId="173" xr:uid="{00000000-0005-0000-0000-000077040000}"/>
    <cellStyle name="常规 10 2 5 2" xfId="1052" xr:uid="{00000000-0005-0000-0000-000078040000}"/>
    <cellStyle name="常规 10 2 5 2 2" xfId="1053" xr:uid="{00000000-0005-0000-0000-000079040000}"/>
    <cellStyle name="常规 10 2 5 3" xfId="1054" xr:uid="{00000000-0005-0000-0000-00007A040000}"/>
    <cellStyle name="常规 10 2 5 4" xfId="1055" xr:uid="{00000000-0005-0000-0000-00007B040000}"/>
    <cellStyle name="常规 10 2 5 5" xfId="1056" xr:uid="{00000000-0005-0000-0000-00007C040000}"/>
    <cellStyle name="常规 10 2 5 6" xfId="1057" xr:uid="{00000000-0005-0000-0000-00007D040000}"/>
    <cellStyle name="常规 10 2 6" xfId="1058" xr:uid="{00000000-0005-0000-0000-00007E040000}"/>
    <cellStyle name="常规 10 2 6 2" xfId="1059" xr:uid="{00000000-0005-0000-0000-00007F040000}"/>
    <cellStyle name="常规 10 2 7" xfId="1060" xr:uid="{00000000-0005-0000-0000-000080040000}"/>
    <cellStyle name="常规 10 2 8" xfId="1061" xr:uid="{00000000-0005-0000-0000-000081040000}"/>
    <cellStyle name="常规 10 2 9" xfId="1062" xr:uid="{00000000-0005-0000-0000-000082040000}"/>
    <cellStyle name="常规 10 3" xfId="447" xr:uid="{00000000-0005-0000-0000-000083040000}"/>
    <cellStyle name="常规 10 3 2" xfId="1063" xr:uid="{00000000-0005-0000-0000-000084040000}"/>
    <cellStyle name="常规 10 3 2 2" xfId="1064" xr:uid="{00000000-0005-0000-0000-000085040000}"/>
    <cellStyle name="常规 10 3 2 2 2" xfId="1065" xr:uid="{00000000-0005-0000-0000-000086040000}"/>
    <cellStyle name="常规 10 3 2 3" xfId="1066" xr:uid="{00000000-0005-0000-0000-000087040000}"/>
    <cellStyle name="常规 10 3 2 4" xfId="1067" xr:uid="{00000000-0005-0000-0000-000088040000}"/>
    <cellStyle name="常规 10 3 2 5" xfId="1068" xr:uid="{00000000-0005-0000-0000-000089040000}"/>
    <cellStyle name="常规 10 3 3" xfId="1069" xr:uid="{00000000-0005-0000-0000-00008A040000}"/>
    <cellStyle name="常规 10 3 3 2" xfId="1070" xr:uid="{00000000-0005-0000-0000-00008B040000}"/>
    <cellStyle name="常规 10 3 3 2 2" xfId="1071" xr:uid="{00000000-0005-0000-0000-00008C040000}"/>
    <cellStyle name="常规 10 3 3 3" xfId="1072" xr:uid="{00000000-0005-0000-0000-00008D040000}"/>
    <cellStyle name="常规 10 3 3 4" xfId="1073" xr:uid="{00000000-0005-0000-0000-00008E040000}"/>
    <cellStyle name="常规 10 3 3 5" xfId="1074" xr:uid="{00000000-0005-0000-0000-00008F040000}"/>
    <cellStyle name="常规 10 3 3 6" xfId="1075" xr:uid="{00000000-0005-0000-0000-000090040000}"/>
    <cellStyle name="常规 10 3 4" xfId="1076" xr:uid="{00000000-0005-0000-0000-000091040000}"/>
    <cellStyle name="常规 10 3 4 2" xfId="1077" xr:uid="{00000000-0005-0000-0000-000092040000}"/>
    <cellStyle name="常规 10 3 5" xfId="1078" xr:uid="{00000000-0005-0000-0000-000093040000}"/>
    <cellStyle name="常规 10 3 6" xfId="1079" xr:uid="{00000000-0005-0000-0000-000094040000}"/>
    <cellStyle name="常规 10 3 7" xfId="1080" xr:uid="{00000000-0005-0000-0000-000095040000}"/>
    <cellStyle name="常规 10 4" xfId="449" xr:uid="{00000000-0005-0000-0000-000096040000}"/>
    <cellStyle name="常规 10 4 2" xfId="1081" xr:uid="{00000000-0005-0000-0000-000097040000}"/>
    <cellStyle name="常规 10 4 2 2" xfId="1082" xr:uid="{00000000-0005-0000-0000-000098040000}"/>
    <cellStyle name="常规 10 4 2 2 2" xfId="1083" xr:uid="{00000000-0005-0000-0000-000099040000}"/>
    <cellStyle name="常规 10 4 2 3" xfId="1084" xr:uid="{00000000-0005-0000-0000-00009A040000}"/>
    <cellStyle name="常规 10 4 2 4" xfId="1085" xr:uid="{00000000-0005-0000-0000-00009B040000}"/>
    <cellStyle name="常规 10 4 2 5" xfId="1086" xr:uid="{00000000-0005-0000-0000-00009C040000}"/>
    <cellStyle name="常规 10 4 3" xfId="1087" xr:uid="{00000000-0005-0000-0000-00009D040000}"/>
    <cellStyle name="常规 10 4 3 2" xfId="1088" xr:uid="{00000000-0005-0000-0000-00009E040000}"/>
    <cellStyle name="常规 10 4 3 2 2" xfId="1090" xr:uid="{00000000-0005-0000-0000-00009F040000}"/>
    <cellStyle name="常规 10 4 3 3" xfId="1091" xr:uid="{00000000-0005-0000-0000-0000A0040000}"/>
    <cellStyle name="常规 10 4 3 4" xfId="1092" xr:uid="{00000000-0005-0000-0000-0000A1040000}"/>
    <cellStyle name="常规 10 4 3 5" xfId="1093" xr:uid="{00000000-0005-0000-0000-0000A2040000}"/>
    <cellStyle name="常规 10 4 3 6" xfId="1094" xr:uid="{00000000-0005-0000-0000-0000A3040000}"/>
    <cellStyle name="常规 10 4 4" xfId="1095" xr:uid="{00000000-0005-0000-0000-0000A4040000}"/>
    <cellStyle name="常规 10 4 4 2" xfId="1096" xr:uid="{00000000-0005-0000-0000-0000A5040000}"/>
    <cellStyle name="常规 10 4 5" xfId="1097" xr:uid="{00000000-0005-0000-0000-0000A6040000}"/>
    <cellStyle name="常规 10 4 6" xfId="1098" xr:uid="{00000000-0005-0000-0000-0000A7040000}"/>
    <cellStyle name="常规 10 4 7" xfId="1099" xr:uid="{00000000-0005-0000-0000-0000A8040000}"/>
    <cellStyle name="常规 10 5" xfId="451" xr:uid="{00000000-0005-0000-0000-0000A9040000}"/>
    <cellStyle name="常规 10 5 2" xfId="1100" xr:uid="{00000000-0005-0000-0000-0000AA040000}"/>
    <cellStyle name="常规 10 5 2 2" xfId="1101" xr:uid="{00000000-0005-0000-0000-0000AB040000}"/>
    <cellStyle name="常规 10 5 2 2 2" xfId="1103" xr:uid="{00000000-0005-0000-0000-0000AC040000}"/>
    <cellStyle name="常规 10 5 2 3" xfId="1104" xr:uid="{00000000-0005-0000-0000-0000AD040000}"/>
    <cellStyle name="常规 10 5 2 4" xfId="1105" xr:uid="{00000000-0005-0000-0000-0000AE040000}"/>
    <cellStyle name="常规 10 5 2 5" xfId="1106" xr:uid="{00000000-0005-0000-0000-0000AF040000}"/>
    <cellStyle name="常规 10 5 3" xfId="1107" xr:uid="{00000000-0005-0000-0000-0000B0040000}"/>
    <cellStyle name="常规 10 5 3 2" xfId="1108" xr:uid="{00000000-0005-0000-0000-0000B1040000}"/>
    <cellStyle name="常规 10 5 3 2 2" xfId="1109" xr:uid="{00000000-0005-0000-0000-0000B2040000}"/>
    <cellStyle name="常规 10 5 3 3" xfId="1110" xr:uid="{00000000-0005-0000-0000-0000B3040000}"/>
    <cellStyle name="常规 10 5 3 4" xfId="1111" xr:uid="{00000000-0005-0000-0000-0000B4040000}"/>
    <cellStyle name="常规 10 5 3 5" xfId="1112" xr:uid="{00000000-0005-0000-0000-0000B5040000}"/>
    <cellStyle name="常规 10 5 3 6" xfId="1113" xr:uid="{00000000-0005-0000-0000-0000B6040000}"/>
    <cellStyle name="常规 10 5 4" xfId="1114" xr:uid="{00000000-0005-0000-0000-0000B7040000}"/>
    <cellStyle name="常规 10 5 4 2" xfId="1115" xr:uid="{00000000-0005-0000-0000-0000B8040000}"/>
    <cellStyle name="常规 10 5 5" xfId="1116" xr:uid="{00000000-0005-0000-0000-0000B9040000}"/>
    <cellStyle name="常规 10 5 6" xfId="1118" xr:uid="{00000000-0005-0000-0000-0000BA040000}"/>
    <cellStyle name="常规 10 5 7" xfId="1120" xr:uid="{00000000-0005-0000-0000-0000BB040000}"/>
    <cellStyle name="常规 10 6" xfId="453" xr:uid="{00000000-0005-0000-0000-0000BC040000}"/>
    <cellStyle name="常规 10 6 2" xfId="1121" xr:uid="{00000000-0005-0000-0000-0000BD040000}"/>
    <cellStyle name="常规 10 6 2 2" xfId="1122" xr:uid="{00000000-0005-0000-0000-0000BE040000}"/>
    <cellStyle name="常规 10 6 3" xfId="1123" xr:uid="{00000000-0005-0000-0000-0000BF040000}"/>
    <cellStyle name="常规 10 6 4" xfId="1124" xr:uid="{00000000-0005-0000-0000-0000C0040000}"/>
    <cellStyle name="常规 10 6 5" xfId="1125" xr:uid="{00000000-0005-0000-0000-0000C1040000}"/>
    <cellStyle name="常规 10 6 6" xfId="429" xr:uid="{00000000-0005-0000-0000-0000C2040000}"/>
    <cellStyle name="常规 10 7" xfId="1126" xr:uid="{00000000-0005-0000-0000-0000C3040000}"/>
    <cellStyle name="常规 10 7 2" xfId="1127" xr:uid="{00000000-0005-0000-0000-0000C4040000}"/>
    <cellStyle name="常规 10 7 2 2" xfId="1128" xr:uid="{00000000-0005-0000-0000-0000C5040000}"/>
    <cellStyle name="常规 10 7 3" xfId="1129" xr:uid="{00000000-0005-0000-0000-0000C6040000}"/>
    <cellStyle name="常规 10 7 4" xfId="1130" xr:uid="{00000000-0005-0000-0000-0000C7040000}"/>
    <cellStyle name="常规 10 7 5" xfId="1131" xr:uid="{00000000-0005-0000-0000-0000C8040000}"/>
    <cellStyle name="常规 10 7 6" xfId="1133" xr:uid="{00000000-0005-0000-0000-0000C9040000}"/>
    <cellStyle name="常规 10 8" xfId="1134" xr:uid="{00000000-0005-0000-0000-0000CA040000}"/>
    <cellStyle name="常规 10 8 2" xfId="1135" xr:uid="{00000000-0005-0000-0000-0000CB040000}"/>
    <cellStyle name="常规 10 8 3" xfId="1136" xr:uid="{00000000-0005-0000-0000-0000CC040000}"/>
    <cellStyle name="常规 10 8 4" xfId="1137" xr:uid="{00000000-0005-0000-0000-0000CD040000}"/>
    <cellStyle name="常规 10 8 5" xfId="1138" xr:uid="{00000000-0005-0000-0000-0000CE040000}"/>
    <cellStyle name="常规 10 9" xfId="1139" xr:uid="{00000000-0005-0000-0000-0000CF040000}"/>
    <cellStyle name="常规 11" xfId="455" xr:uid="{00000000-0005-0000-0000-0000D0040000}"/>
    <cellStyle name="常规 11 2" xfId="457" xr:uid="{00000000-0005-0000-0000-0000D1040000}"/>
    <cellStyle name="常规 11 3" xfId="1647" xr:uid="{00000000-0005-0000-0000-0000D2040000}"/>
    <cellStyle name="常规 12" xfId="463" xr:uid="{00000000-0005-0000-0000-0000D3040000}"/>
    <cellStyle name="常规 12 2" xfId="745" xr:uid="{00000000-0005-0000-0000-0000D4040000}"/>
    <cellStyle name="常规 13" xfId="363" xr:uid="{00000000-0005-0000-0000-0000D5040000}"/>
    <cellStyle name="常规 13 2" xfId="753" xr:uid="{00000000-0005-0000-0000-0000D6040000}"/>
    <cellStyle name="常规 14" xfId="405" xr:uid="{00000000-0005-0000-0000-0000D7040000}"/>
    <cellStyle name="常规 14 2" xfId="1140" xr:uid="{00000000-0005-0000-0000-0000D8040000}"/>
    <cellStyle name="常规 15" xfId="5" xr:uid="{00000000-0005-0000-0000-0000D9040000}"/>
    <cellStyle name="常规 15 2" xfId="1142" xr:uid="{00000000-0005-0000-0000-0000DA040000}"/>
    <cellStyle name="常规 15 2 2" xfId="1143" xr:uid="{00000000-0005-0000-0000-0000DB040000}"/>
    <cellStyle name="常规 15 2 2 2" xfId="1144" xr:uid="{00000000-0005-0000-0000-0000DC040000}"/>
    <cellStyle name="常规 15 2 2 3" xfId="1145" xr:uid="{00000000-0005-0000-0000-0000DD040000}"/>
    <cellStyle name="常规 15 2 2 4" xfId="1146" xr:uid="{00000000-0005-0000-0000-0000DE040000}"/>
    <cellStyle name="常规 15 2 2 5" xfId="1147" xr:uid="{00000000-0005-0000-0000-0000DF040000}"/>
    <cellStyle name="常规 15 2 3" xfId="1148" xr:uid="{00000000-0005-0000-0000-0000E0040000}"/>
    <cellStyle name="常规 15 2 4" xfId="897" xr:uid="{00000000-0005-0000-0000-0000E1040000}"/>
    <cellStyle name="常规 15 2 5" xfId="907" xr:uid="{00000000-0005-0000-0000-0000E2040000}"/>
    <cellStyle name="常规 15 2 6" xfId="909" xr:uid="{00000000-0005-0000-0000-0000E3040000}"/>
    <cellStyle name="常规 15 3" xfId="1151" xr:uid="{00000000-0005-0000-0000-0000E4040000}"/>
    <cellStyle name="常规 15 3 2" xfId="1152" xr:uid="{00000000-0005-0000-0000-0000E5040000}"/>
    <cellStyle name="常规 15 3 3" xfId="1153" xr:uid="{00000000-0005-0000-0000-0000E6040000}"/>
    <cellStyle name="常规 15 3 4" xfId="914" xr:uid="{00000000-0005-0000-0000-0000E7040000}"/>
    <cellStyle name="常规 15 3 5" xfId="917" xr:uid="{00000000-0005-0000-0000-0000E8040000}"/>
    <cellStyle name="常规 15 4" xfId="1155" xr:uid="{00000000-0005-0000-0000-0000E9040000}"/>
    <cellStyle name="常规 15 5" xfId="1157" xr:uid="{00000000-0005-0000-0000-0000EA040000}"/>
    <cellStyle name="常规 15 6" xfId="1159" xr:uid="{00000000-0005-0000-0000-0000EB040000}"/>
    <cellStyle name="常规 15 7" xfId="1160" xr:uid="{00000000-0005-0000-0000-0000EC040000}"/>
    <cellStyle name="常规 15 8" xfId="239" xr:uid="{00000000-0005-0000-0000-0000ED040000}"/>
    <cellStyle name="常规 16" xfId="1162" xr:uid="{00000000-0005-0000-0000-0000EE040000}"/>
    <cellStyle name="常规 16 2" xfId="1164" xr:uid="{00000000-0005-0000-0000-0000EF040000}"/>
    <cellStyle name="常规 16 2 2" xfId="1165" xr:uid="{00000000-0005-0000-0000-0000F0040000}"/>
    <cellStyle name="常规 16 2 2 2" xfId="1167" xr:uid="{00000000-0005-0000-0000-0000F1040000}"/>
    <cellStyle name="常规 16 2 2 3" xfId="1169" xr:uid="{00000000-0005-0000-0000-0000F2040000}"/>
    <cellStyle name="常规 16 2 2 4" xfId="171" xr:uid="{00000000-0005-0000-0000-0000F3040000}"/>
    <cellStyle name="常规 16 2 2 5" xfId="175" xr:uid="{00000000-0005-0000-0000-0000F4040000}"/>
    <cellStyle name="常规 16 2 3" xfId="1170" xr:uid="{00000000-0005-0000-0000-0000F5040000}"/>
    <cellStyle name="常规 16 2 4" xfId="932" xr:uid="{00000000-0005-0000-0000-0000F6040000}"/>
    <cellStyle name="常规 16 2 5" xfId="934" xr:uid="{00000000-0005-0000-0000-0000F7040000}"/>
    <cellStyle name="常规 16 2 6" xfId="936" xr:uid="{00000000-0005-0000-0000-0000F8040000}"/>
    <cellStyle name="常规 16 3" xfId="1171" xr:uid="{00000000-0005-0000-0000-0000F9040000}"/>
    <cellStyle name="常规 16 3 2" xfId="1172" xr:uid="{00000000-0005-0000-0000-0000FA040000}"/>
    <cellStyle name="常规 16 3 3" xfId="1173" xr:uid="{00000000-0005-0000-0000-0000FB040000}"/>
    <cellStyle name="常规 16 3 4" xfId="1174" xr:uid="{00000000-0005-0000-0000-0000FC040000}"/>
    <cellStyle name="常规 16 3 5" xfId="1175" xr:uid="{00000000-0005-0000-0000-0000FD040000}"/>
    <cellStyle name="常规 16 4" xfId="1176" xr:uid="{00000000-0005-0000-0000-0000FE040000}"/>
    <cellStyle name="常规 16 5" xfId="1177" xr:uid="{00000000-0005-0000-0000-0000FF040000}"/>
    <cellStyle name="常规 16 6" xfId="1178" xr:uid="{00000000-0005-0000-0000-000000050000}"/>
    <cellStyle name="常规 16 7" xfId="1179" xr:uid="{00000000-0005-0000-0000-000001050000}"/>
    <cellStyle name="常规 17" xfId="1181" xr:uid="{00000000-0005-0000-0000-000002050000}"/>
    <cellStyle name="常规 17 2" xfId="1183" xr:uid="{00000000-0005-0000-0000-000003050000}"/>
    <cellStyle name="常规 17 3" xfId="1185" xr:uid="{00000000-0005-0000-0000-000004050000}"/>
    <cellStyle name="常规 18" xfId="1187" xr:uid="{00000000-0005-0000-0000-000005050000}"/>
    <cellStyle name="常规 18 2" xfId="1189" xr:uid="{00000000-0005-0000-0000-000006050000}"/>
    <cellStyle name="常规 18 3" xfId="1191" xr:uid="{00000000-0005-0000-0000-000007050000}"/>
    <cellStyle name="常规 19" xfId="1193" xr:uid="{00000000-0005-0000-0000-000008050000}"/>
    <cellStyle name="常规 19 2" xfId="10" xr:uid="{00000000-0005-0000-0000-000009050000}"/>
    <cellStyle name="常规 19 3" xfId="1195" xr:uid="{00000000-0005-0000-0000-00000A050000}"/>
    <cellStyle name="常规 2" xfId="1196" xr:uid="{00000000-0005-0000-0000-00000B050000}"/>
    <cellStyle name="常规 2 10" xfId="1658" xr:uid="{00000000-0005-0000-0000-00000C050000}"/>
    <cellStyle name="常规 2 2" xfId="1197" xr:uid="{00000000-0005-0000-0000-00000D050000}"/>
    <cellStyle name="常规 2 2 2" xfId="1198" xr:uid="{00000000-0005-0000-0000-00000E050000}"/>
    <cellStyle name="常规 2 2 2 2" xfId="1117" xr:uid="{00000000-0005-0000-0000-00000F050000}"/>
    <cellStyle name="常规 2 2 2 2 2" xfId="1199" xr:uid="{00000000-0005-0000-0000-000010050000}"/>
    <cellStyle name="常规 2 2 2 2 3" xfId="1200" xr:uid="{00000000-0005-0000-0000-000011050000}"/>
    <cellStyle name="常规 2 2 2 2 4" xfId="1201" xr:uid="{00000000-0005-0000-0000-000012050000}"/>
    <cellStyle name="常规 2 2 2 2 5" xfId="1202" xr:uid="{00000000-0005-0000-0000-000013050000}"/>
    <cellStyle name="常规 2 2 2 3" xfId="1119" xr:uid="{00000000-0005-0000-0000-000014050000}"/>
    <cellStyle name="常规 2 2 2 4" xfId="61" xr:uid="{00000000-0005-0000-0000-000015050000}"/>
    <cellStyle name="常规 2 2 2 5" xfId="50" xr:uid="{00000000-0005-0000-0000-000016050000}"/>
    <cellStyle name="常规 2 2 2 6" xfId="63" xr:uid="{00000000-0005-0000-0000-000017050000}"/>
    <cellStyle name="常规 2 2 3" xfId="567" xr:uid="{00000000-0005-0000-0000-000018050000}"/>
    <cellStyle name="常规 2 2 3 2" xfId="428" xr:uid="{00000000-0005-0000-0000-000019050000}"/>
    <cellStyle name="常规 2 2 3 2 2" xfId="1204" xr:uid="{00000000-0005-0000-0000-00001A050000}"/>
    <cellStyle name="常规 2 2 3 2 3" xfId="1206" xr:uid="{00000000-0005-0000-0000-00001B050000}"/>
    <cellStyle name="常规 2 2 3 2 4" xfId="513" xr:uid="{00000000-0005-0000-0000-00001C050000}"/>
    <cellStyle name="常规 2 2 3 2 5" xfId="1208" xr:uid="{00000000-0005-0000-0000-00001D050000}"/>
    <cellStyle name="常规 2 2 3 3" xfId="432" xr:uid="{00000000-0005-0000-0000-00001E050000}"/>
    <cellStyle name="常规 2 2 3 4" xfId="435" xr:uid="{00000000-0005-0000-0000-00001F050000}"/>
    <cellStyle name="常规 2 2 3 5" xfId="569" xr:uid="{00000000-0005-0000-0000-000020050000}"/>
    <cellStyle name="常规 2 2 3 6" xfId="1209" xr:uid="{00000000-0005-0000-0000-000021050000}"/>
    <cellStyle name="常规 2 2 4" xfId="25" xr:uid="{00000000-0005-0000-0000-000022050000}"/>
    <cellStyle name="常规 2 2 4 2" xfId="1132" xr:uid="{00000000-0005-0000-0000-000023050000}"/>
    <cellStyle name="常规 2 2 4 3" xfId="1210" xr:uid="{00000000-0005-0000-0000-000024050000}"/>
    <cellStyle name="常规 2 2 4 4" xfId="1211" xr:uid="{00000000-0005-0000-0000-000025050000}"/>
    <cellStyle name="常规 2 2 4 5" xfId="1212" xr:uid="{00000000-0005-0000-0000-000026050000}"/>
    <cellStyle name="常规 2 2 5" xfId="571" xr:uid="{00000000-0005-0000-0000-000027050000}"/>
    <cellStyle name="常规 2 2 6" xfId="573" xr:uid="{00000000-0005-0000-0000-000028050000}"/>
    <cellStyle name="常规 2 2 7" xfId="575" xr:uid="{00000000-0005-0000-0000-000029050000}"/>
    <cellStyle name="常规 2 2 8" xfId="1213" xr:uid="{00000000-0005-0000-0000-00002A050000}"/>
    <cellStyle name="常规 2 3" xfId="1214" xr:uid="{00000000-0005-0000-0000-00002B050000}"/>
    <cellStyle name="常规 2 3 2" xfId="1215" xr:uid="{00000000-0005-0000-0000-00002C050000}"/>
    <cellStyle name="常规 2 3 2 2" xfId="1216" xr:uid="{00000000-0005-0000-0000-00002D050000}"/>
    <cellStyle name="常规 2 3 2 3" xfId="1217" xr:uid="{00000000-0005-0000-0000-00002E050000}"/>
    <cellStyle name="常规 2 3 2 4" xfId="1218" xr:uid="{00000000-0005-0000-0000-00002F050000}"/>
    <cellStyle name="常规 2 3 2 5" xfId="1219" xr:uid="{00000000-0005-0000-0000-000030050000}"/>
    <cellStyle name="常规 2 3 3" xfId="577" xr:uid="{00000000-0005-0000-0000-000031050000}"/>
    <cellStyle name="常规 2 3 4" xfId="416" xr:uid="{00000000-0005-0000-0000-000032050000}"/>
    <cellStyle name="常规 2 3 5" xfId="419" xr:uid="{00000000-0005-0000-0000-000033050000}"/>
    <cellStyle name="常规 2 3 6" xfId="422" xr:uid="{00000000-0005-0000-0000-000034050000}"/>
    <cellStyle name="常规 2 4" xfId="1220" xr:uid="{00000000-0005-0000-0000-000035050000}"/>
    <cellStyle name="常规 2 4 2" xfId="1221" xr:uid="{00000000-0005-0000-0000-000036050000}"/>
    <cellStyle name="常规 2 4 2 2" xfId="1222" xr:uid="{00000000-0005-0000-0000-000037050000}"/>
    <cellStyle name="常规 2 4 2 3" xfId="1223" xr:uid="{00000000-0005-0000-0000-000038050000}"/>
    <cellStyle name="常规 2 4 2 4" xfId="1224" xr:uid="{00000000-0005-0000-0000-000039050000}"/>
    <cellStyle name="常规 2 4 2 5" xfId="1225" xr:uid="{00000000-0005-0000-0000-00003A050000}"/>
    <cellStyle name="常规 2 4 3" xfId="1226" xr:uid="{00000000-0005-0000-0000-00003B050000}"/>
    <cellStyle name="常规 2 4 4" xfId="1227" xr:uid="{00000000-0005-0000-0000-00003C050000}"/>
    <cellStyle name="常规 2 4 5" xfId="1228" xr:uid="{00000000-0005-0000-0000-00003D050000}"/>
    <cellStyle name="常规 2 4 6" xfId="1229" xr:uid="{00000000-0005-0000-0000-00003E050000}"/>
    <cellStyle name="常规 2 5" xfId="1230" xr:uid="{00000000-0005-0000-0000-00003F050000}"/>
    <cellStyle name="常规 2 5 2" xfId="1231" xr:uid="{00000000-0005-0000-0000-000040050000}"/>
    <cellStyle name="常规 2 5 2 2" xfId="1232" xr:uid="{00000000-0005-0000-0000-000041050000}"/>
    <cellStyle name="常规 2 5 2 3" xfId="1233" xr:uid="{00000000-0005-0000-0000-000042050000}"/>
    <cellStyle name="常规 2 5 2 4" xfId="1234" xr:uid="{00000000-0005-0000-0000-000043050000}"/>
    <cellStyle name="常规 2 5 2 5" xfId="1000" xr:uid="{00000000-0005-0000-0000-000044050000}"/>
    <cellStyle name="常规 2 5 3" xfId="1235" xr:uid="{00000000-0005-0000-0000-000045050000}"/>
    <cellStyle name="常规 2 5 4" xfId="1236" xr:uid="{00000000-0005-0000-0000-000046050000}"/>
    <cellStyle name="常规 2 5 5" xfId="1237" xr:uid="{00000000-0005-0000-0000-000047050000}"/>
    <cellStyle name="常规 2 5 6" xfId="1238" xr:uid="{00000000-0005-0000-0000-000048050000}"/>
    <cellStyle name="常规 2 6" xfId="1239" xr:uid="{00000000-0005-0000-0000-000049050000}"/>
    <cellStyle name="常规 2 6 2" xfId="1240" xr:uid="{00000000-0005-0000-0000-00004A050000}"/>
    <cellStyle name="常规 2 6 3" xfId="1241" xr:uid="{00000000-0005-0000-0000-00004B050000}"/>
    <cellStyle name="常规 2 6 4" xfId="1242" xr:uid="{00000000-0005-0000-0000-00004C050000}"/>
    <cellStyle name="常规 2 6 5" xfId="1243" xr:uid="{00000000-0005-0000-0000-00004D050000}"/>
    <cellStyle name="常规 2 7" xfId="1166" xr:uid="{00000000-0005-0000-0000-00004E050000}"/>
    <cellStyle name="常规 2 7 2" xfId="1244" xr:uid="{00000000-0005-0000-0000-00004F050000}"/>
    <cellStyle name="常规 2 7 3" xfId="1245" xr:uid="{00000000-0005-0000-0000-000050050000}"/>
    <cellStyle name="常规 2 7 4" xfId="1246" xr:uid="{00000000-0005-0000-0000-000051050000}"/>
    <cellStyle name="常规 2 8" xfId="1168" xr:uid="{00000000-0005-0000-0000-000052050000}"/>
    <cellStyle name="常规 2 8 2" xfId="967" xr:uid="{00000000-0005-0000-0000-000053050000}"/>
    <cellStyle name="常规 2 8 3" xfId="969" xr:uid="{00000000-0005-0000-0000-000054050000}"/>
    <cellStyle name="常规 2 9" xfId="1648" xr:uid="{00000000-0005-0000-0000-000055050000}"/>
    <cellStyle name="常规 20" xfId="238" xr:uid="{00000000-0005-0000-0000-000056050000}"/>
    <cellStyle name="常规 20 2" xfId="1141" xr:uid="{00000000-0005-0000-0000-000057050000}"/>
    <cellStyle name="常规 20 3" xfId="1150" xr:uid="{00000000-0005-0000-0000-000058050000}"/>
    <cellStyle name="常规 21" xfId="1161" xr:uid="{00000000-0005-0000-0000-000059050000}"/>
    <cellStyle name="常规 21 2" xfId="1163" xr:uid="{00000000-0005-0000-0000-00005A050000}"/>
    <cellStyle name="常规 22" xfId="1180" xr:uid="{00000000-0005-0000-0000-00005B050000}"/>
    <cellStyle name="常规 22 2" xfId="1182" xr:uid="{00000000-0005-0000-0000-00005C050000}"/>
    <cellStyle name="常规 22 2 2" xfId="1247" xr:uid="{00000000-0005-0000-0000-00005D050000}"/>
    <cellStyle name="常规 22 2 3" xfId="1248" xr:uid="{00000000-0005-0000-0000-00005E050000}"/>
    <cellStyle name="常规 22 2 4" xfId="1249" xr:uid="{00000000-0005-0000-0000-00005F050000}"/>
    <cellStyle name="常规 22 2 5" xfId="103" xr:uid="{00000000-0005-0000-0000-000060050000}"/>
    <cellStyle name="常规 22 3" xfId="1184" xr:uid="{00000000-0005-0000-0000-000061050000}"/>
    <cellStyle name="常规 22 4" xfId="1250" xr:uid="{00000000-0005-0000-0000-000062050000}"/>
    <cellStyle name="常规 22 5" xfId="1251" xr:uid="{00000000-0005-0000-0000-000063050000}"/>
    <cellStyle name="常规 22 6" xfId="1252" xr:uid="{00000000-0005-0000-0000-000064050000}"/>
    <cellStyle name="常规 23" xfId="1186" xr:uid="{00000000-0005-0000-0000-000065050000}"/>
    <cellStyle name="常规 23 2" xfId="1188" xr:uid="{00000000-0005-0000-0000-000066050000}"/>
    <cellStyle name="常规 23 2 2" xfId="1253" xr:uid="{00000000-0005-0000-0000-000067050000}"/>
    <cellStyle name="常规 23 2 3" xfId="1254" xr:uid="{00000000-0005-0000-0000-000068050000}"/>
    <cellStyle name="常规 23 2 4" xfId="1255" xr:uid="{00000000-0005-0000-0000-000069050000}"/>
    <cellStyle name="常规 23 2 5" xfId="142" xr:uid="{00000000-0005-0000-0000-00006A050000}"/>
    <cellStyle name="常规 23 3" xfId="1190" xr:uid="{00000000-0005-0000-0000-00006B050000}"/>
    <cellStyle name="常规 23 4" xfId="1256" xr:uid="{00000000-0005-0000-0000-00006C050000}"/>
    <cellStyle name="常规 23 5" xfId="1257" xr:uid="{00000000-0005-0000-0000-00006D050000}"/>
    <cellStyle name="常规 23 6" xfId="1258" xr:uid="{00000000-0005-0000-0000-00006E050000}"/>
    <cellStyle name="常规 24" xfId="1192" xr:uid="{00000000-0005-0000-0000-00006F050000}"/>
    <cellStyle name="常规 24 2" xfId="1194" xr:uid="{00000000-0005-0000-0000-000070050000}"/>
    <cellStyle name="常规 25" xfId="1260" xr:uid="{00000000-0005-0000-0000-000071050000}"/>
    <cellStyle name="常规 25 2" xfId="1261" xr:uid="{00000000-0005-0000-0000-000072050000}"/>
    <cellStyle name="常规 26" xfId="1263" xr:uid="{00000000-0005-0000-0000-000073050000}"/>
    <cellStyle name="常规 26 2" xfId="31" xr:uid="{00000000-0005-0000-0000-000074050000}"/>
    <cellStyle name="常规 27" xfId="1265" xr:uid="{00000000-0005-0000-0000-000075050000}"/>
    <cellStyle name="常规 27 2" xfId="1267" xr:uid="{00000000-0005-0000-0000-000076050000}"/>
    <cellStyle name="常规 27 2 2" xfId="1268" xr:uid="{00000000-0005-0000-0000-000077050000}"/>
    <cellStyle name="常规 27 2 3" xfId="1269" xr:uid="{00000000-0005-0000-0000-000078050000}"/>
    <cellStyle name="常规 27 2 4" xfId="1270" xr:uid="{00000000-0005-0000-0000-000079050000}"/>
    <cellStyle name="常规 27 2 5" xfId="1271" xr:uid="{00000000-0005-0000-0000-00007A050000}"/>
    <cellStyle name="常规 27 3" xfId="1273" xr:uid="{00000000-0005-0000-0000-00007B050000}"/>
    <cellStyle name="常规 27 4" xfId="1275" xr:uid="{00000000-0005-0000-0000-00007C050000}"/>
    <cellStyle name="常规 27 5" xfId="1277" xr:uid="{00000000-0005-0000-0000-00007D050000}"/>
    <cellStyle name="常规 27 6" xfId="1278" xr:uid="{00000000-0005-0000-0000-00007E050000}"/>
    <cellStyle name="常规 28" xfId="1280" xr:uid="{00000000-0005-0000-0000-00007F050000}"/>
    <cellStyle name="常规 28 2" xfId="153" xr:uid="{00000000-0005-0000-0000-000080050000}"/>
    <cellStyle name="常规 28 2 2" xfId="1281" xr:uid="{00000000-0005-0000-0000-000081050000}"/>
    <cellStyle name="常规 28 2 3" xfId="1282" xr:uid="{00000000-0005-0000-0000-000082050000}"/>
    <cellStyle name="常规 28 2 4" xfId="1283" xr:uid="{00000000-0005-0000-0000-000083050000}"/>
    <cellStyle name="常规 28 2 5" xfId="1284" xr:uid="{00000000-0005-0000-0000-000084050000}"/>
    <cellStyle name="常规 28 3" xfId="161" xr:uid="{00000000-0005-0000-0000-000085050000}"/>
    <cellStyle name="常规 28 4" xfId="1285" xr:uid="{00000000-0005-0000-0000-000086050000}"/>
    <cellStyle name="常规 28 5" xfId="1286" xr:uid="{00000000-0005-0000-0000-000087050000}"/>
    <cellStyle name="常规 28 6" xfId="1288" xr:uid="{00000000-0005-0000-0000-000088050000}"/>
    <cellStyle name="常规 29" xfId="1290" xr:uid="{00000000-0005-0000-0000-000089050000}"/>
    <cellStyle name="常规 29 2" xfId="1292" xr:uid="{00000000-0005-0000-0000-00008A050000}"/>
    <cellStyle name="常规 29 2 2" xfId="1293" xr:uid="{00000000-0005-0000-0000-00008B050000}"/>
    <cellStyle name="常规 29 2 3" xfId="1294" xr:uid="{00000000-0005-0000-0000-00008C050000}"/>
    <cellStyle name="常规 29 2 4" xfId="1295" xr:uid="{00000000-0005-0000-0000-00008D050000}"/>
    <cellStyle name="常规 29 2 5" xfId="1296" xr:uid="{00000000-0005-0000-0000-00008E050000}"/>
    <cellStyle name="常规 29 3" xfId="1297" xr:uid="{00000000-0005-0000-0000-00008F050000}"/>
    <cellStyle name="常规 29 4" xfId="1298" xr:uid="{00000000-0005-0000-0000-000090050000}"/>
    <cellStyle name="常规 29 5" xfId="1299" xr:uid="{00000000-0005-0000-0000-000091050000}"/>
    <cellStyle name="常规 29 6" xfId="1301" xr:uid="{00000000-0005-0000-0000-000092050000}"/>
    <cellStyle name="常规 3" xfId="1302" xr:uid="{00000000-0005-0000-0000-000093050000}"/>
    <cellStyle name="常规 3 10" xfId="1659" xr:uid="{00000000-0005-0000-0000-000094050000}"/>
    <cellStyle name="常规 3 2" xfId="1002" xr:uid="{00000000-0005-0000-0000-000095050000}"/>
    <cellStyle name="常规 3 2 2" xfId="1004" xr:uid="{00000000-0005-0000-0000-000096050000}"/>
    <cellStyle name="常规 3 2 2 2" xfId="397" xr:uid="{00000000-0005-0000-0000-000097050000}"/>
    <cellStyle name="常规 3 2 2 2 2" xfId="1303" xr:uid="{00000000-0005-0000-0000-000098050000}"/>
    <cellStyle name="常规 3 2 2 2 3" xfId="1304" xr:uid="{00000000-0005-0000-0000-000099050000}"/>
    <cellStyle name="常规 3 2 2 2 4" xfId="1305" xr:uid="{00000000-0005-0000-0000-00009A050000}"/>
    <cellStyle name="常规 3 2 2 2 5" xfId="1306" xr:uid="{00000000-0005-0000-0000-00009B050000}"/>
    <cellStyle name="常规 3 2 2 3" xfId="401" xr:uid="{00000000-0005-0000-0000-00009C050000}"/>
    <cellStyle name="常规 3 2 2 4" xfId="1307" xr:uid="{00000000-0005-0000-0000-00009D050000}"/>
    <cellStyle name="常规 3 2 2 5" xfId="1308" xr:uid="{00000000-0005-0000-0000-00009E050000}"/>
    <cellStyle name="常规 3 2 2 6" xfId="1309" xr:uid="{00000000-0005-0000-0000-00009F050000}"/>
    <cellStyle name="常规 3 2 3" xfId="1310" xr:uid="{00000000-0005-0000-0000-0000A0050000}"/>
    <cellStyle name="常规 3 2 3 2" xfId="1311" xr:uid="{00000000-0005-0000-0000-0000A1050000}"/>
    <cellStyle name="常规 3 2 3 3" xfId="1312" xr:uid="{00000000-0005-0000-0000-0000A2050000}"/>
    <cellStyle name="常规 3 2 3 4" xfId="1313" xr:uid="{00000000-0005-0000-0000-0000A3050000}"/>
    <cellStyle name="常规 3 2 3 5" xfId="867" xr:uid="{00000000-0005-0000-0000-0000A4050000}"/>
    <cellStyle name="常规 3 2 4" xfId="1314" xr:uid="{00000000-0005-0000-0000-0000A5050000}"/>
    <cellStyle name="常规 3 2 5" xfId="927" xr:uid="{00000000-0005-0000-0000-0000A6050000}"/>
    <cellStyle name="常规 3 2 6" xfId="871" xr:uid="{00000000-0005-0000-0000-0000A7050000}"/>
    <cellStyle name="常规 3 2 7" xfId="874" xr:uid="{00000000-0005-0000-0000-0000A8050000}"/>
    <cellStyle name="常规 3 3" xfId="1006" xr:uid="{00000000-0005-0000-0000-0000A9050000}"/>
    <cellStyle name="常规 3 3 2" xfId="1008" xr:uid="{00000000-0005-0000-0000-0000AA050000}"/>
    <cellStyle name="常规 3 3 2 2" xfId="1315" xr:uid="{00000000-0005-0000-0000-0000AB050000}"/>
    <cellStyle name="常规 3 3 2 3" xfId="1316" xr:uid="{00000000-0005-0000-0000-0000AC050000}"/>
    <cellStyle name="常规 3 3 2 4" xfId="1317" xr:uid="{00000000-0005-0000-0000-0000AD050000}"/>
    <cellStyle name="常规 3 3 2 5" xfId="1318" xr:uid="{00000000-0005-0000-0000-0000AE050000}"/>
    <cellStyle name="常规 3 3 3" xfId="1319" xr:uid="{00000000-0005-0000-0000-0000AF050000}"/>
    <cellStyle name="常规 3 3 4" xfId="1320" xr:uid="{00000000-0005-0000-0000-0000B0050000}"/>
    <cellStyle name="常规 3 3 5" xfId="1321" xr:uid="{00000000-0005-0000-0000-0000B1050000}"/>
    <cellStyle name="常规 3 3 6" xfId="1322" xr:uid="{00000000-0005-0000-0000-0000B2050000}"/>
    <cellStyle name="常规 3 4" xfId="1323" xr:uid="{00000000-0005-0000-0000-0000B3050000}"/>
    <cellStyle name="常规 3 5" xfId="1324" xr:uid="{00000000-0005-0000-0000-0000B4050000}"/>
    <cellStyle name="常规 3 5 2" xfId="1325" xr:uid="{00000000-0005-0000-0000-0000B5050000}"/>
    <cellStyle name="常规 3 5 3" xfId="1326" xr:uid="{00000000-0005-0000-0000-0000B6050000}"/>
    <cellStyle name="常规 3 5 4" xfId="1327" xr:uid="{00000000-0005-0000-0000-0000B7050000}"/>
    <cellStyle name="常规 3 5 5" xfId="1329" xr:uid="{00000000-0005-0000-0000-0000B8050000}"/>
    <cellStyle name="常规 3 6" xfId="1330" xr:uid="{00000000-0005-0000-0000-0000B9050000}"/>
    <cellStyle name="常规 3 6 2" xfId="1331" xr:uid="{00000000-0005-0000-0000-0000BA050000}"/>
    <cellStyle name="常规 3 7" xfId="1332" xr:uid="{00000000-0005-0000-0000-0000BB050000}"/>
    <cellStyle name="常规 3 7 2" xfId="92" xr:uid="{00000000-0005-0000-0000-0000BC050000}"/>
    <cellStyle name="常规 3 7 3" xfId="1333" xr:uid="{00000000-0005-0000-0000-0000BD050000}"/>
    <cellStyle name="常规 3 8" xfId="1334" xr:uid="{00000000-0005-0000-0000-0000BE050000}"/>
    <cellStyle name="常规 3 9" xfId="1649" xr:uid="{00000000-0005-0000-0000-0000BF050000}"/>
    <cellStyle name="常规 30" xfId="1259" xr:uid="{00000000-0005-0000-0000-0000C0050000}"/>
    <cellStyle name="常规 31" xfId="1262" xr:uid="{00000000-0005-0000-0000-0000C1050000}"/>
    <cellStyle name="常规 31 2" xfId="30" xr:uid="{00000000-0005-0000-0000-0000C2050000}"/>
    <cellStyle name="常规 31 2 2" xfId="1335" xr:uid="{00000000-0005-0000-0000-0000C3050000}"/>
    <cellStyle name="常规 31 2 3" xfId="1336" xr:uid="{00000000-0005-0000-0000-0000C4050000}"/>
    <cellStyle name="常规 31 2 4" xfId="1337" xr:uid="{00000000-0005-0000-0000-0000C5050000}"/>
    <cellStyle name="常规 31 2 5" xfId="1338" xr:uid="{00000000-0005-0000-0000-0000C6050000}"/>
    <cellStyle name="常规 31 3" xfId="67" xr:uid="{00000000-0005-0000-0000-0000C7050000}"/>
    <cellStyle name="常规 31 4" xfId="70" xr:uid="{00000000-0005-0000-0000-0000C8050000}"/>
    <cellStyle name="常规 31 5" xfId="74" xr:uid="{00000000-0005-0000-0000-0000C9050000}"/>
    <cellStyle name="常规 31 6" xfId="1339" xr:uid="{00000000-0005-0000-0000-0000CA050000}"/>
    <cellStyle name="常规 32" xfId="1264" xr:uid="{00000000-0005-0000-0000-0000CB050000}"/>
    <cellStyle name="常规 32 2" xfId="1266" xr:uid="{00000000-0005-0000-0000-0000CC050000}"/>
    <cellStyle name="常规 32 3" xfId="1272" xr:uid="{00000000-0005-0000-0000-0000CD050000}"/>
    <cellStyle name="常规 32 4" xfId="1274" xr:uid="{00000000-0005-0000-0000-0000CE050000}"/>
    <cellStyle name="常规 32 5" xfId="1276" xr:uid="{00000000-0005-0000-0000-0000CF050000}"/>
    <cellStyle name="常规 33" xfId="8" xr:uid="{00000000-0005-0000-0000-0000D0050000}"/>
    <cellStyle name="常规 33 2" xfId="152" xr:uid="{00000000-0005-0000-0000-0000D1050000}"/>
    <cellStyle name="常规 33 3" xfId="1279" xr:uid="{00000000-0005-0000-0000-0000D2050000}"/>
    <cellStyle name="常规 34" xfId="1289" xr:uid="{00000000-0005-0000-0000-0000D3050000}"/>
    <cellStyle name="常规 34 2" xfId="1291" xr:uid="{00000000-0005-0000-0000-0000D4050000}"/>
    <cellStyle name="常规 35" xfId="12" xr:uid="{00000000-0005-0000-0000-0000D5050000}"/>
    <cellStyle name="常规 35 2" xfId="1341" xr:uid="{00000000-0005-0000-0000-0000D6050000}"/>
    <cellStyle name="常规 36" xfId="1343" xr:uid="{00000000-0005-0000-0000-0000D7050000}"/>
    <cellStyle name="常规 36 2" xfId="1345" xr:uid="{00000000-0005-0000-0000-0000D8050000}"/>
    <cellStyle name="常规 37" xfId="1347" xr:uid="{00000000-0005-0000-0000-0000D9050000}"/>
    <cellStyle name="常规 37 2" xfId="1349" xr:uid="{00000000-0005-0000-0000-0000DA050000}"/>
    <cellStyle name="常规 37 3" xfId="1350" xr:uid="{00000000-0005-0000-0000-0000DB050000}"/>
    <cellStyle name="常规 38" xfId="824" xr:uid="{00000000-0005-0000-0000-0000DC050000}"/>
    <cellStyle name="常规 38 2" xfId="827" xr:uid="{00000000-0005-0000-0000-0000DD050000}"/>
    <cellStyle name="常规 38 3" xfId="829" xr:uid="{00000000-0005-0000-0000-0000DE050000}"/>
    <cellStyle name="常规 38 4" xfId="831" xr:uid="{00000000-0005-0000-0000-0000DF050000}"/>
    <cellStyle name="常规 38 5" xfId="833" xr:uid="{00000000-0005-0000-0000-0000E0050000}"/>
    <cellStyle name="常规 39" xfId="23" xr:uid="{00000000-0005-0000-0000-0000E1050000}"/>
    <cellStyle name="常规 39 2" xfId="1352" xr:uid="{00000000-0005-0000-0000-0000E2050000}"/>
    <cellStyle name="常规 39 3" xfId="1353" xr:uid="{00000000-0005-0000-0000-0000E3050000}"/>
    <cellStyle name="常规 39 4" xfId="1354" xr:uid="{00000000-0005-0000-0000-0000E4050000}"/>
    <cellStyle name="常规 4" xfId="1355" xr:uid="{00000000-0005-0000-0000-0000E5050000}"/>
    <cellStyle name="常规 4 2" xfId="1356" xr:uid="{00000000-0005-0000-0000-0000E6050000}"/>
    <cellStyle name="常规 4 2 2" xfId="1358" xr:uid="{00000000-0005-0000-0000-0000E7050000}"/>
    <cellStyle name="常规 4 2 2 2" xfId="1361" xr:uid="{00000000-0005-0000-0000-0000E8050000}"/>
    <cellStyle name="常规 4 2 2 2 2" xfId="1363" xr:uid="{00000000-0005-0000-0000-0000E9050000}"/>
    <cellStyle name="常规 4 2 2 2 3" xfId="1365" xr:uid="{00000000-0005-0000-0000-0000EA050000}"/>
    <cellStyle name="常规 4 2 2 2 4" xfId="1367" xr:uid="{00000000-0005-0000-0000-0000EB050000}"/>
    <cellStyle name="常规 4 2 2 2 5" xfId="1369" xr:uid="{00000000-0005-0000-0000-0000EC050000}"/>
    <cellStyle name="常规 4 2 2 3" xfId="41" xr:uid="{00000000-0005-0000-0000-0000ED050000}"/>
    <cellStyle name="常规 4 2 2 4" xfId="1372" xr:uid="{00000000-0005-0000-0000-0000EE050000}"/>
    <cellStyle name="常规 4 2 2 5" xfId="1375" xr:uid="{00000000-0005-0000-0000-0000EF050000}"/>
    <cellStyle name="常规 4 2 2 6" xfId="1377" xr:uid="{00000000-0005-0000-0000-0000F0050000}"/>
    <cellStyle name="常规 4 2 3" xfId="1379" xr:uid="{00000000-0005-0000-0000-0000F1050000}"/>
    <cellStyle name="常规 4 2 3 2" xfId="1380" xr:uid="{00000000-0005-0000-0000-0000F2050000}"/>
    <cellStyle name="常规 4 2 3 3" xfId="1381" xr:uid="{00000000-0005-0000-0000-0000F3050000}"/>
    <cellStyle name="常规 4 2 3 4" xfId="1382" xr:uid="{00000000-0005-0000-0000-0000F4050000}"/>
    <cellStyle name="常规 4 2 3 5" xfId="1384" xr:uid="{00000000-0005-0000-0000-0000F5050000}"/>
    <cellStyle name="常规 4 2 4" xfId="1386" xr:uid="{00000000-0005-0000-0000-0000F6050000}"/>
    <cellStyle name="常规 4 2 5" xfId="1388" xr:uid="{00000000-0005-0000-0000-0000F7050000}"/>
    <cellStyle name="常规 4 2 6" xfId="1391" xr:uid="{00000000-0005-0000-0000-0000F8050000}"/>
    <cellStyle name="常规 4 2 7" xfId="1393" xr:uid="{00000000-0005-0000-0000-0000F9050000}"/>
    <cellStyle name="常规 4 3" xfId="1394" xr:uid="{00000000-0005-0000-0000-0000FA050000}"/>
    <cellStyle name="常规 4 3 2" xfId="1396" xr:uid="{00000000-0005-0000-0000-0000FB050000}"/>
    <cellStyle name="常规 4 3 2 2" xfId="1398" xr:uid="{00000000-0005-0000-0000-0000FC050000}"/>
    <cellStyle name="常规 4 3 2 3" xfId="1400" xr:uid="{00000000-0005-0000-0000-0000FD050000}"/>
    <cellStyle name="常规 4 3 2 4" xfId="1402" xr:uid="{00000000-0005-0000-0000-0000FE050000}"/>
    <cellStyle name="常规 4 3 2 5" xfId="1404" xr:uid="{00000000-0005-0000-0000-0000FF050000}"/>
    <cellStyle name="常规 4 3 3" xfId="1406" xr:uid="{00000000-0005-0000-0000-000000060000}"/>
    <cellStyle name="常规 4 3 4" xfId="1408" xr:uid="{00000000-0005-0000-0000-000001060000}"/>
    <cellStyle name="常规 4 3 5" xfId="1410" xr:uid="{00000000-0005-0000-0000-000002060000}"/>
    <cellStyle name="常规 4 3 6" xfId="1413" xr:uid="{00000000-0005-0000-0000-000003060000}"/>
    <cellStyle name="常规 4 4" xfId="1357" xr:uid="{00000000-0005-0000-0000-000004060000}"/>
    <cellStyle name="常规 4 4 2" xfId="1360" xr:uid="{00000000-0005-0000-0000-000005060000}"/>
    <cellStyle name="常规 4 4 3" xfId="40" xr:uid="{00000000-0005-0000-0000-000006060000}"/>
    <cellStyle name="常规 4 4 4" xfId="1371" xr:uid="{00000000-0005-0000-0000-000007060000}"/>
    <cellStyle name="常规 4 4 5" xfId="1374" xr:uid="{00000000-0005-0000-0000-000008060000}"/>
    <cellStyle name="常规 4 5" xfId="1378" xr:uid="{00000000-0005-0000-0000-000009060000}"/>
    <cellStyle name="常规 4 6" xfId="1385" xr:uid="{00000000-0005-0000-0000-00000A060000}"/>
    <cellStyle name="常规 4 7" xfId="1387" xr:uid="{00000000-0005-0000-0000-00000B060000}"/>
    <cellStyle name="常规 4 8" xfId="1390" xr:uid="{00000000-0005-0000-0000-00000C060000}"/>
    <cellStyle name="常规 40" xfId="1340" xr:uid="{00000000-0005-0000-0000-00000D060000}"/>
    <cellStyle name="常规 40 2" xfId="1414" xr:uid="{00000000-0005-0000-0000-00000E060000}"/>
    <cellStyle name="常规 41" xfId="1342" xr:uid="{00000000-0005-0000-0000-00000F060000}"/>
    <cellStyle name="常规 41 2" xfId="1344" xr:uid="{00000000-0005-0000-0000-000010060000}"/>
    <cellStyle name="常规 42" xfId="1346" xr:uid="{00000000-0005-0000-0000-000011060000}"/>
    <cellStyle name="常规 42 2" xfId="1348" xr:uid="{00000000-0005-0000-0000-000012060000}"/>
    <cellStyle name="常规 43" xfId="823" xr:uid="{00000000-0005-0000-0000-000013060000}"/>
    <cellStyle name="常规 43 2" xfId="826" xr:uid="{00000000-0005-0000-0000-000014060000}"/>
    <cellStyle name="常规 44" xfId="22" xr:uid="{00000000-0005-0000-0000-000015060000}"/>
    <cellStyle name="常规 44 2" xfId="1351" xr:uid="{00000000-0005-0000-0000-000016060000}"/>
    <cellStyle name="常规 45" xfId="836" xr:uid="{00000000-0005-0000-0000-000017060000}"/>
    <cellStyle name="常规 45 2" xfId="1415" xr:uid="{00000000-0005-0000-0000-000018060000}"/>
    <cellStyle name="常规 46" xfId="839" xr:uid="{00000000-0005-0000-0000-000019060000}"/>
    <cellStyle name="常规 47" xfId="842" xr:uid="{00000000-0005-0000-0000-00001A060000}"/>
    <cellStyle name="常规 47 2" xfId="1416" xr:uid="{00000000-0005-0000-0000-00001B060000}"/>
    <cellStyle name="常规 48" xfId="1418" xr:uid="{00000000-0005-0000-0000-00001C060000}"/>
    <cellStyle name="常规 49" xfId="1420" xr:uid="{00000000-0005-0000-0000-00001D060000}"/>
    <cellStyle name="常规 5" xfId="1421" xr:uid="{00000000-0005-0000-0000-00001E060000}"/>
    <cellStyle name="常规 5 2" xfId="1422" xr:uid="{00000000-0005-0000-0000-00001F060000}"/>
    <cellStyle name="常规 5 2 2" xfId="1423" xr:uid="{00000000-0005-0000-0000-000020060000}"/>
    <cellStyle name="常规 5 2 2 2" xfId="1424" xr:uid="{00000000-0005-0000-0000-000021060000}"/>
    <cellStyle name="常规 5 2 2 2 2" xfId="1149" xr:uid="{00000000-0005-0000-0000-000022060000}"/>
    <cellStyle name="常规 5 2 2 2 3" xfId="1154" xr:uid="{00000000-0005-0000-0000-000023060000}"/>
    <cellStyle name="常规 5 2 2 2 4" xfId="1156" xr:uid="{00000000-0005-0000-0000-000024060000}"/>
    <cellStyle name="常规 5 2 2 2 5" xfId="1158" xr:uid="{00000000-0005-0000-0000-000025060000}"/>
    <cellStyle name="常规 5 2 2 3" xfId="1425" xr:uid="{00000000-0005-0000-0000-000026060000}"/>
    <cellStyle name="常规 5 2 2 4" xfId="1426" xr:uid="{00000000-0005-0000-0000-000027060000}"/>
    <cellStyle name="常规 5 2 2 5" xfId="1427" xr:uid="{00000000-0005-0000-0000-000028060000}"/>
    <cellStyle name="常规 5 2 2 6" xfId="1428" xr:uid="{00000000-0005-0000-0000-000029060000}"/>
    <cellStyle name="常规 5 2 3" xfId="1429" xr:uid="{00000000-0005-0000-0000-00002A060000}"/>
    <cellStyle name="常规 5 2 3 2" xfId="1045" xr:uid="{00000000-0005-0000-0000-00002B060000}"/>
    <cellStyle name="常规 5 2 3 3" xfId="1430" xr:uid="{00000000-0005-0000-0000-00002C060000}"/>
    <cellStyle name="常规 5 2 3 4" xfId="1431" xr:uid="{00000000-0005-0000-0000-00002D060000}"/>
    <cellStyle name="常规 5 2 3 5" xfId="1432" xr:uid="{00000000-0005-0000-0000-00002E060000}"/>
    <cellStyle name="常规 5 2 4" xfId="1433" xr:uid="{00000000-0005-0000-0000-00002F060000}"/>
    <cellStyle name="常规 5 2 5" xfId="1434" xr:uid="{00000000-0005-0000-0000-000030060000}"/>
    <cellStyle name="常规 5 2 6" xfId="1436" xr:uid="{00000000-0005-0000-0000-000031060000}"/>
    <cellStyle name="常规 5 2 7" xfId="1438" xr:uid="{00000000-0005-0000-0000-000032060000}"/>
    <cellStyle name="常规 5 3" xfId="1439" xr:uid="{00000000-0005-0000-0000-000033060000}"/>
    <cellStyle name="常规 5 3 2" xfId="337" xr:uid="{00000000-0005-0000-0000-000034060000}"/>
    <cellStyle name="常规 5 3 2 2" xfId="341" xr:uid="{00000000-0005-0000-0000-000035060000}"/>
    <cellStyle name="常规 5 3 2 3" xfId="345" xr:uid="{00000000-0005-0000-0000-000036060000}"/>
    <cellStyle name="常规 5 3 2 4" xfId="1440" xr:uid="{00000000-0005-0000-0000-000037060000}"/>
    <cellStyle name="常规 5 3 2 5" xfId="1441" xr:uid="{00000000-0005-0000-0000-000038060000}"/>
    <cellStyle name="常规 5 3 3" xfId="499" xr:uid="{00000000-0005-0000-0000-000039060000}"/>
    <cellStyle name="常规 5 3 4" xfId="503" xr:uid="{00000000-0005-0000-0000-00003A060000}"/>
    <cellStyle name="常规 5 3 5" xfId="505" xr:uid="{00000000-0005-0000-0000-00003B060000}"/>
    <cellStyle name="常规 5 3 6" xfId="507" xr:uid="{00000000-0005-0000-0000-00003C060000}"/>
    <cellStyle name="常规 5 4" xfId="1395" xr:uid="{00000000-0005-0000-0000-00003D060000}"/>
    <cellStyle name="常规 5 4 2" xfId="1397" xr:uid="{00000000-0005-0000-0000-00003E060000}"/>
    <cellStyle name="常规 5 4 3" xfId="1399" xr:uid="{00000000-0005-0000-0000-00003F060000}"/>
    <cellStyle name="常规 5 4 4" xfId="1401" xr:uid="{00000000-0005-0000-0000-000040060000}"/>
    <cellStyle name="常规 5 4 5" xfId="1403" xr:uid="{00000000-0005-0000-0000-000041060000}"/>
    <cellStyle name="常规 5 5" xfId="1405" xr:uid="{00000000-0005-0000-0000-000042060000}"/>
    <cellStyle name="常规 5 6" xfId="1407" xr:uid="{00000000-0005-0000-0000-000043060000}"/>
    <cellStyle name="常规 5 7" xfId="1409" xr:uid="{00000000-0005-0000-0000-000044060000}"/>
    <cellStyle name="常规 5 8" xfId="1412" xr:uid="{00000000-0005-0000-0000-000045060000}"/>
    <cellStyle name="常规 50" xfId="835" xr:uid="{00000000-0005-0000-0000-000046060000}"/>
    <cellStyle name="常规 51" xfId="838" xr:uid="{00000000-0005-0000-0000-000047060000}"/>
    <cellStyle name="常规 52" xfId="841" xr:uid="{00000000-0005-0000-0000-000048060000}"/>
    <cellStyle name="常规 53" xfId="1417" xr:uid="{00000000-0005-0000-0000-000049060000}"/>
    <cellStyle name="常规 54" xfId="1419" xr:uid="{00000000-0005-0000-0000-00004A060000}"/>
    <cellStyle name="常规 55" xfId="85" xr:uid="{00000000-0005-0000-0000-00004B060000}"/>
    <cellStyle name="常规 56" xfId="105" xr:uid="{00000000-0005-0000-0000-00004C060000}"/>
    <cellStyle name="常规 57" xfId="109" xr:uid="{00000000-0005-0000-0000-00004D060000}"/>
    <cellStyle name="常规 6" xfId="1442" xr:uid="{00000000-0005-0000-0000-00004E060000}"/>
    <cellStyle name="常规 6 2" xfId="1443" xr:uid="{00000000-0005-0000-0000-00004F060000}"/>
    <cellStyle name="常规 6 2 2" xfId="634" xr:uid="{00000000-0005-0000-0000-000050060000}"/>
    <cellStyle name="常规 6 2 2 2" xfId="1444" xr:uid="{00000000-0005-0000-0000-000051060000}"/>
    <cellStyle name="常规 6 2 2 2 2" xfId="774" xr:uid="{00000000-0005-0000-0000-000052060000}"/>
    <cellStyle name="常规 6 2 2 2 3" xfId="781" xr:uid="{00000000-0005-0000-0000-000053060000}"/>
    <cellStyle name="常规 6 2 2 2 4" xfId="783" xr:uid="{00000000-0005-0000-0000-000054060000}"/>
    <cellStyle name="常规 6 2 2 2 5" xfId="785" xr:uid="{00000000-0005-0000-0000-000055060000}"/>
    <cellStyle name="常规 6 2 2 3" xfId="1445" xr:uid="{00000000-0005-0000-0000-000056060000}"/>
    <cellStyle name="常规 6 2 2 4" xfId="1446" xr:uid="{00000000-0005-0000-0000-000057060000}"/>
    <cellStyle name="常规 6 2 2 5" xfId="1447" xr:uid="{00000000-0005-0000-0000-000058060000}"/>
    <cellStyle name="常规 6 2 2 6" xfId="1448" xr:uid="{00000000-0005-0000-0000-000059060000}"/>
    <cellStyle name="常规 6 2 3" xfId="636" xr:uid="{00000000-0005-0000-0000-00005A060000}"/>
    <cellStyle name="常规 6 2 3 2" xfId="1449" xr:uid="{00000000-0005-0000-0000-00005B060000}"/>
    <cellStyle name="常规 6 2 3 3" xfId="1450" xr:uid="{00000000-0005-0000-0000-00005C060000}"/>
    <cellStyle name="常规 6 2 3 4" xfId="1451" xr:uid="{00000000-0005-0000-0000-00005D060000}"/>
    <cellStyle name="常规 6 2 3 5" xfId="1452" xr:uid="{00000000-0005-0000-0000-00005E060000}"/>
    <cellStyle name="常规 6 2 4" xfId="638" xr:uid="{00000000-0005-0000-0000-00005F060000}"/>
    <cellStyle name="常规 6 2 5" xfId="1453" xr:uid="{00000000-0005-0000-0000-000060060000}"/>
    <cellStyle name="常规 6 2 6" xfId="738" xr:uid="{00000000-0005-0000-0000-000061060000}"/>
    <cellStyle name="常规 6 2 7" xfId="750" xr:uid="{00000000-0005-0000-0000-000062060000}"/>
    <cellStyle name="常规 6 3" xfId="1454" xr:uid="{00000000-0005-0000-0000-000063060000}"/>
    <cellStyle name="常规 6 3 2" xfId="645" xr:uid="{00000000-0005-0000-0000-000064060000}"/>
    <cellStyle name="常规 6 3 2 2" xfId="1455" xr:uid="{00000000-0005-0000-0000-000065060000}"/>
    <cellStyle name="常规 6 3 2 3" xfId="1456" xr:uid="{00000000-0005-0000-0000-000066060000}"/>
    <cellStyle name="常规 6 3 2 4" xfId="1457" xr:uid="{00000000-0005-0000-0000-000067060000}"/>
    <cellStyle name="常规 6 3 2 5" xfId="1458" xr:uid="{00000000-0005-0000-0000-000068060000}"/>
    <cellStyle name="常规 6 3 3" xfId="647" xr:uid="{00000000-0005-0000-0000-000069060000}"/>
    <cellStyle name="常规 6 3 4" xfId="1459" xr:uid="{00000000-0005-0000-0000-00006A060000}"/>
    <cellStyle name="常规 6 3 5" xfId="1460" xr:uid="{00000000-0005-0000-0000-00006B060000}"/>
    <cellStyle name="常规 6 3 6" xfId="763" xr:uid="{00000000-0005-0000-0000-00006C060000}"/>
    <cellStyle name="常规 6 4" xfId="1359" xr:uid="{00000000-0005-0000-0000-00006D060000}"/>
    <cellStyle name="常规 6 4 2" xfId="1362" xr:uid="{00000000-0005-0000-0000-00006E060000}"/>
    <cellStyle name="常规 6 4 3" xfId="1364" xr:uid="{00000000-0005-0000-0000-00006F060000}"/>
    <cellStyle name="常规 6 4 4" xfId="1366" xr:uid="{00000000-0005-0000-0000-000070060000}"/>
    <cellStyle name="常规 6 4 5" xfId="1368" xr:uid="{00000000-0005-0000-0000-000071060000}"/>
    <cellStyle name="常规 6 5" xfId="39" xr:uid="{00000000-0005-0000-0000-000072060000}"/>
    <cellStyle name="常规 6 6" xfId="1370" xr:uid="{00000000-0005-0000-0000-000073060000}"/>
    <cellStyle name="常规 6 7" xfId="1373" xr:uid="{00000000-0005-0000-0000-000074060000}"/>
    <cellStyle name="常规 6 8" xfId="1376" xr:uid="{00000000-0005-0000-0000-000075060000}"/>
    <cellStyle name="常规 60" xfId="1643" xr:uid="{00000000-0005-0000-0000-000076060000}"/>
    <cellStyle name="常规 60 2" xfId="1652" xr:uid="{00000000-0005-0000-0000-000077060000}"/>
    <cellStyle name="常规 61" xfId="1644" xr:uid="{00000000-0005-0000-0000-000078060000}"/>
    <cellStyle name="常规 61 2" xfId="1653" xr:uid="{00000000-0005-0000-0000-000079060000}"/>
    <cellStyle name="常规 7" xfId="1461" xr:uid="{00000000-0005-0000-0000-00007A060000}"/>
    <cellStyle name="常规 8" xfId="1462" xr:uid="{00000000-0005-0000-0000-00007B060000}"/>
    <cellStyle name="常规 8 2" xfId="1463" xr:uid="{00000000-0005-0000-0000-00007C060000}"/>
    <cellStyle name="常规 9" xfId="6" xr:uid="{00000000-0005-0000-0000-00007D060000}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Z522"/>
  <sheetViews>
    <sheetView tabSelected="1" zoomScale="70" zoomScaleNormal="70" workbookViewId="0">
      <selection activeCell="B1" sqref="B1:O1"/>
    </sheetView>
  </sheetViews>
  <sheetFormatPr defaultColWidth="10.1640625" defaultRowHeight="11.45" customHeight="1"/>
  <cols>
    <col min="1" max="1" width="0.33203125" style="1" customWidth="1"/>
    <col min="2" max="2" width="5.164062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9" width="20.6640625" style="149" customWidth="1"/>
    <col min="10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97" customWidth="1"/>
    <col min="17" max="17" width="16.6640625" style="97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52" s="1" customFormat="1" ht="32.1" customHeight="1">
      <c r="B1" s="166" t="s">
        <v>32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8"/>
      <c r="AD1" s="172"/>
      <c r="AU1"/>
      <c r="AV1"/>
      <c r="AW1"/>
      <c r="AX1"/>
      <c r="AY1"/>
      <c r="AZ1"/>
    </row>
    <row r="2" spans="1:52" s="1" customFormat="1" ht="15" customHeight="1">
      <c r="B2" s="2"/>
      <c r="C2" s="3" t="s">
        <v>39</v>
      </c>
      <c r="D2" s="4"/>
      <c r="F2" s="2"/>
      <c r="G2" s="2"/>
      <c r="H2" s="5"/>
      <c r="I2" s="142"/>
      <c r="J2" s="6"/>
      <c r="V2" s="135"/>
      <c r="W2" s="135"/>
      <c r="X2" s="135"/>
      <c r="Y2" s="135"/>
      <c r="Z2" s="135"/>
      <c r="AD2" s="172"/>
      <c r="AU2"/>
      <c r="AV2"/>
      <c r="AW2"/>
      <c r="AX2"/>
      <c r="AY2"/>
      <c r="AZ2"/>
    </row>
    <row r="3" spans="1:52" ht="15" customHeight="1">
      <c r="B3" s="2"/>
      <c r="C3" s="3" t="s">
        <v>38</v>
      </c>
      <c r="D3" s="7" t="s">
        <v>33</v>
      </c>
      <c r="F3" s="2"/>
      <c r="G3" s="2"/>
      <c r="H3" s="5"/>
      <c r="I3" s="142"/>
      <c r="J3" s="5"/>
      <c r="K3" s="2"/>
      <c r="L3" s="2"/>
      <c r="M3" s="2"/>
      <c r="N3" s="5"/>
      <c r="O3" s="5"/>
      <c r="P3" s="8"/>
      <c r="Q3" s="8"/>
      <c r="V3" s="135"/>
      <c r="W3" s="135"/>
      <c r="X3" s="135"/>
      <c r="Y3" s="135"/>
      <c r="Z3" s="135"/>
      <c r="AD3" s="172"/>
      <c r="AU3"/>
      <c r="AV3"/>
      <c r="AW3"/>
      <c r="AX3"/>
      <c r="AY3"/>
      <c r="AZ3"/>
    </row>
    <row r="4" spans="1:52" ht="39.75" customHeight="1">
      <c r="B4" s="9"/>
      <c r="C4" s="10" t="s">
        <v>37</v>
      </c>
      <c r="D4" s="11" t="s">
        <v>77</v>
      </c>
      <c r="F4" s="2"/>
      <c r="G4" s="2"/>
      <c r="H4" s="5"/>
      <c r="I4" s="142"/>
      <c r="J4" s="5"/>
      <c r="K4" s="2"/>
      <c r="L4" s="2"/>
      <c r="M4" s="2"/>
      <c r="N4" s="5"/>
      <c r="O4" s="5"/>
      <c r="P4" s="169"/>
      <c r="Q4" s="170"/>
      <c r="R4" s="170"/>
      <c r="S4" s="170"/>
      <c r="T4" s="170"/>
      <c r="U4" s="171"/>
      <c r="V4" s="135"/>
      <c r="W4" s="135"/>
      <c r="X4" s="135"/>
      <c r="Y4" s="135"/>
      <c r="Z4" s="135"/>
      <c r="AD4" s="172"/>
      <c r="AU4"/>
      <c r="AV4"/>
      <c r="AW4"/>
      <c r="AX4"/>
      <c r="AY4"/>
      <c r="AZ4"/>
    </row>
    <row r="5" spans="1:52" ht="15" customHeight="1">
      <c r="B5" s="12"/>
      <c r="C5" s="13" t="s">
        <v>36</v>
      </c>
      <c r="D5" s="14"/>
      <c r="E5" s="15"/>
      <c r="F5" s="6"/>
      <c r="G5" s="6"/>
      <c r="H5" s="6"/>
      <c r="I5" s="143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35"/>
      <c r="W5" s="135"/>
      <c r="X5" s="135"/>
      <c r="Y5" s="135"/>
      <c r="Z5" s="135"/>
      <c r="AD5" s="172"/>
      <c r="AU5"/>
      <c r="AV5"/>
      <c r="AW5"/>
      <c r="AX5"/>
      <c r="AY5"/>
      <c r="AZ5"/>
    </row>
    <row r="6" spans="1:52" s="1" customFormat="1" ht="15" customHeight="1">
      <c r="A6" s="17"/>
      <c r="B6" s="138" t="s">
        <v>0</v>
      </c>
      <c r="C6" s="138"/>
      <c r="D6" s="18"/>
      <c r="E6" s="19"/>
      <c r="F6" s="20"/>
      <c r="G6" s="20"/>
      <c r="H6" s="20"/>
      <c r="I6" s="144"/>
      <c r="J6" s="20"/>
      <c r="K6" s="20"/>
      <c r="L6" s="20"/>
      <c r="M6" s="20"/>
      <c r="N6" s="20"/>
      <c r="O6" s="20"/>
      <c r="V6" s="136"/>
      <c r="W6" s="136"/>
      <c r="X6" s="136"/>
      <c r="Y6" s="136"/>
      <c r="Z6" s="136"/>
      <c r="AD6" s="172"/>
      <c r="AU6"/>
      <c r="AV6"/>
      <c r="AW6"/>
      <c r="AX6"/>
      <c r="AY6"/>
      <c r="AZ6"/>
    </row>
    <row r="7" spans="1:52" ht="15" customHeight="1">
      <c r="A7" s="15"/>
      <c r="B7" s="141" t="s">
        <v>1</v>
      </c>
      <c r="C7" s="133"/>
      <c r="D7" s="133"/>
      <c r="E7" s="133"/>
      <c r="F7" s="133"/>
      <c r="G7" s="133"/>
      <c r="H7" s="133"/>
      <c r="I7" s="145"/>
      <c r="J7" s="134"/>
      <c r="K7" s="133" t="s">
        <v>2</v>
      </c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4"/>
      <c r="AD7" s="172"/>
      <c r="AU7"/>
      <c r="AV7"/>
      <c r="AW7"/>
      <c r="AX7"/>
      <c r="AY7"/>
      <c r="AZ7"/>
    </row>
    <row r="8" spans="1:52" s="22" customFormat="1" ht="54.75" customHeight="1">
      <c r="A8" s="21"/>
      <c r="B8" s="22" t="s">
        <v>35</v>
      </c>
      <c r="C8" s="23" t="s">
        <v>3</v>
      </c>
      <c r="D8" s="24" t="s">
        <v>34</v>
      </c>
      <c r="E8" s="23" t="s">
        <v>29</v>
      </c>
      <c r="F8" s="23" t="s">
        <v>4</v>
      </c>
      <c r="G8" s="23" t="s">
        <v>5</v>
      </c>
      <c r="H8" s="25" t="s">
        <v>24</v>
      </c>
      <c r="I8" s="146" t="s">
        <v>26</v>
      </c>
      <c r="J8" s="26" t="s">
        <v>44</v>
      </c>
      <c r="K8" s="25" t="s">
        <v>6</v>
      </c>
      <c r="L8" s="25" t="s">
        <v>5</v>
      </c>
      <c r="M8" s="25" t="s">
        <v>30</v>
      </c>
      <c r="N8" s="25" t="s">
        <v>28</v>
      </c>
      <c r="O8" s="25" t="s">
        <v>25</v>
      </c>
      <c r="P8" s="25" t="s">
        <v>7</v>
      </c>
      <c r="Q8" s="25" t="s">
        <v>10</v>
      </c>
      <c r="R8" s="27" t="s">
        <v>8</v>
      </c>
      <c r="S8" s="28" t="s">
        <v>9</v>
      </c>
      <c r="T8" s="27" t="s">
        <v>21</v>
      </c>
      <c r="U8" s="25" t="s">
        <v>11</v>
      </c>
      <c r="V8" s="25" t="s">
        <v>40</v>
      </c>
      <c r="W8" s="25" t="s">
        <v>41</v>
      </c>
      <c r="X8" s="139" t="s">
        <v>23</v>
      </c>
      <c r="Y8" s="140"/>
      <c r="Z8" s="25" t="s">
        <v>22</v>
      </c>
      <c r="AA8" s="29"/>
      <c r="AB8" s="29"/>
      <c r="AC8" s="30"/>
      <c r="AD8" s="172"/>
      <c r="AU8"/>
      <c r="AV8"/>
      <c r="AW8"/>
      <c r="AX8"/>
      <c r="AY8"/>
      <c r="AZ8"/>
    </row>
    <row r="9" spans="1:52" s="40" customFormat="1" ht="19.5" customHeight="1">
      <c r="A9" s="31"/>
      <c r="B9" s="137">
        <v>1</v>
      </c>
      <c r="C9" s="137"/>
      <c r="D9" s="32"/>
      <c r="E9" s="126"/>
      <c r="F9" s="126">
        <v>2</v>
      </c>
      <c r="G9" s="126">
        <v>3</v>
      </c>
      <c r="H9" s="33">
        <v>4</v>
      </c>
      <c r="I9" s="147">
        <v>5</v>
      </c>
      <c r="J9" s="34"/>
      <c r="K9" s="33">
        <v>6</v>
      </c>
      <c r="L9" s="35">
        <v>7</v>
      </c>
      <c r="M9" s="33">
        <v>8</v>
      </c>
      <c r="N9" s="33"/>
      <c r="O9" s="33">
        <v>9</v>
      </c>
      <c r="P9" s="33">
        <v>10</v>
      </c>
      <c r="Q9" s="36">
        <v>11</v>
      </c>
      <c r="R9" s="36">
        <v>12</v>
      </c>
      <c r="S9" s="36">
        <v>13</v>
      </c>
      <c r="T9" s="36">
        <v>14</v>
      </c>
      <c r="U9" s="37">
        <v>15</v>
      </c>
      <c r="V9" s="37"/>
      <c r="W9" s="37">
        <v>16</v>
      </c>
      <c r="X9" s="37">
        <v>17</v>
      </c>
      <c r="Y9" s="37"/>
      <c r="Z9" s="37">
        <v>19</v>
      </c>
      <c r="AA9" s="38"/>
      <c r="AB9" s="38"/>
      <c r="AC9" s="39"/>
      <c r="AD9" s="172"/>
      <c r="AU9"/>
      <c r="AV9"/>
      <c r="AW9"/>
      <c r="AX9"/>
      <c r="AY9"/>
      <c r="AZ9"/>
    </row>
    <row r="10" spans="1:52" s="61" customFormat="1" ht="56.25" customHeight="1">
      <c r="A10" s="41"/>
      <c r="B10" s="42">
        <v>1</v>
      </c>
      <c r="C10" s="43" t="s">
        <v>78</v>
      </c>
      <c r="D10" s="44"/>
      <c r="E10" s="45"/>
      <c r="F10" s="46" t="s">
        <v>31</v>
      </c>
      <c r="G10" s="162" t="s">
        <v>79</v>
      </c>
      <c r="H10" s="47"/>
      <c r="I10" s="148" t="e">
        <f>G10*H10</f>
        <v>#VALUE!</v>
      </c>
      <c r="J10" s="48" t="e">
        <f>I10*14</f>
        <v>#VALUE!</v>
      </c>
      <c r="K10" s="49" t="s">
        <v>42</v>
      </c>
      <c r="L10" s="50" t="str">
        <f>G10</f>
        <v>{{ quantity }}</v>
      </c>
      <c r="M10" s="51" t="s">
        <v>80</v>
      </c>
      <c r="N10" s="52" t="e">
        <f>M10/P10</f>
        <v>#VALUE!</v>
      </c>
      <c r="O10" s="53" t="e">
        <f>M10*L10</f>
        <v>#VALUE!</v>
      </c>
      <c r="P10" s="163" t="s">
        <v>81</v>
      </c>
      <c r="Q10" s="54" t="e">
        <f>P10*L10</f>
        <v>#VALUE!</v>
      </c>
      <c r="R10" s="104" t="e">
        <f>$U$14/$Q$11*P10/12*0.3</f>
        <v>#VALUE!</v>
      </c>
      <c r="S10" s="55" t="e">
        <f>R10*L10</f>
        <v>#VALUE!</v>
      </c>
      <c r="T10" s="55" t="e">
        <f>$U$14/$Q$11*P10/12*0.7</f>
        <v>#VALUE!</v>
      </c>
      <c r="U10" s="55" t="e">
        <f>T10*L10</f>
        <v>#VALUE!</v>
      </c>
      <c r="V10" s="56" t="e">
        <f>H10/P10</f>
        <v>#VALUE!</v>
      </c>
      <c r="W10" s="52" t="e">
        <f>N10</f>
        <v>#VALUE!</v>
      </c>
      <c r="X10" s="57" t="s">
        <v>43</v>
      </c>
      <c r="Y10" s="58" t="e">
        <f>L10*(M10+R10)*X10</f>
        <v>#VALUE!</v>
      </c>
      <c r="Z10" s="59" t="e">
        <f>(I10-O10-S10-U10-Y10-AA10-AC10-AB10)/I10</f>
        <v>#VALUE!</v>
      </c>
      <c r="AA10" s="60"/>
      <c r="AB10" s="60"/>
      <c r="AC10" s="60"/>
      <c r="AD10" s="172"/>
      <c r="AU10"/>
      <c r="AV10"/>
      <c r="AW10"/>
      <c r="AX10"/>
      <c r="AY10"/>
      <c r="AZ10"/>
    </row>
    <row r="11" spans="1:52" s="61" customFormat="1" ht="15" customHeight="1">
      <c r="A11" s="41"/>
      <c r="B11" s="62"/>
      <c r="C11" s="63"/>
      <c r="D11" s="63"/>
      <c r="F11" s="64"/>
      <c r="G11" s="132"/>
      <c r="H11" s="65"/>
      <c r="I11" s="148" t="e">
        <f>SUM(I10:I10)</f>
        <v>#VALUE!</v>
      </c>
      <c r="J11" s="66"/>
      <c r="K11" s="67"/>
      <c r="L11" s="68"/>
      <c r="M11" s="69"/>
      <c r="N11" s="70"/>
      <c r="O11" s="47" t="e">
        <f>SUM(O10:O10)</f>
        <v>#VALUE!</v>
      </c>
      <c r="P11" s="71"/>
      <c r="Q11" s="72" t="e">
        <f>SUM(Q10:Q10)</f>
        <v>#VALUE!</v>
      </c>
      <c r="R11" s="73"/>
      <c r="S11" s="47" t="e">
        <f>SUM(S10:S10)</f>
        <v>#VALUE!</v>
      </c>
      <c r="T11" s="74"/>
      <c r="U11" s="74" t="e">
        <f>SUM(U10:U10)</f>
        <v>#VALUE!</v>
      </c>
      <c r="V11" s="75"/>
      <c r="W11" s="76"/>
      <c r="X11" s="77" t="e">
        <f>AVERAGE(X10:X10)</f>
        <v>#DIV/0!</v>
      </c>
      <c r="Y11" s="47" t="e">
        <f>SUM(Y10:Y10)</f>
        <v>#VALUE!</v>
      </c>
      <c r="Z11" s="78" t="e">
        <f>(I11-O11-S11-U11-Y11-AA11-AC11-AB11)/I11</f>
        <v>#VALUE!</v>
      </c>
      <c r="AA11" s="60"/>
      <c r="AB11" s="60"/>
      <c r="AC11" s="60"/>
      <c r="AD11" s="172"/>
      <c r="AU11"/>
      <c r="AV11"/>
      <c r="AW11"/>
      <c r="AX11"/>
      <c r="AY11"/>
      <c r="AZ11"/>
    </row>
    <row r="12" spans="1:52" s="61" customFormat="1" ht="15" customHeight="1">
      <c r="A12" s="41"/>
      <c r="B12" s="62"/>
      <c r="C12" s="79"/>
      <c r="D12" s="80"/>
      <c r="E12" s="79"/>
      <c r="F12" s="81"/>
      <c r="G12" s="131"/>
      <c r="H12" s="65" t="s">
        <v>27</v>
      </c>
      <c r="I12" s="148" t="e">
        <f>I11*1.2</f>
        <v>#VALUE!</v>
      </c>
      <c r="J12" s="82"/>
      <c r="K12" s="1"/>
      <c r="L12" s="83"/>
      <c r="M12" s="84"/>
      <c r="N12" s="84"/>
      <c r="O12" s="85"/>
      <c r="P12" s="86"/>
      <c r="Q12" s="87"/>
      <c r="R12" s="88"/>
      <c r="S12" s="89"/>
      <c r="T12" s="90"/>
      <c r="U12" s="91"/>
      <c r="V12" s="75"/>
      <c r="W12" s="76"/>
      <c r="X12" s="92"/>
      <c r="Y12" s="93"/>
      <c r="Z12" s="94"/>
      <c r="AC12" s="95"/>
      <c r="AD12" s="172"/>
      <c r="AU12"/>
      <c r="AV12"/>
      <c r="AW12"/>
      <c r="AX12"/>
      <c r="AY12"/>
      <c r="AZ12"/>
    </row>
    <row r="13" spans="1:52" s="1" customFormat="1" ht="14.1" customHeight="1">
      <c r="A13" s="129" t="s">
        <v>12</v>
      </c>
      <c r="B13" s="127" t="s">
        <v>45</v>
      </c>
      <c r="C13" s="128"/>
      <c r="D13" s="125"/>
      <c r="E13" s="125"/>
      <c r="F13" s="130"/>
      <c r="G13" s="130"/>
      <c r="H13" s="130"/>
      <c r="I13" s="149"/>
      <c r="K13" s="97"/>
      <c r="L13" s="97"/>
      <c r="P13"/>
      <c r="Q13"/>
      <c r="R13"/>
      <c r="S13"/>
      <c r="T13"/>
      <c r="U13"/>
      <c r="V13"/>
      <c r="W13"/>
      <c r="X13"/>
      <c r="Y13"/>
      <c r="Z13"/>
      <c r="AA13"/>
      <c r="AD13" s="172"/>
      <c r="AU13"/>
      <c r="AV13"/>
      <c r="AW13"/>
      <c r="AX13"/>
      <c r="AY13"/>
      <c r="AZ13"/>
    </row>
    <row r="14" spans="1:52" ht="14.1" customHeight="1">
      <c r="A14" s="129" t="s">
        <v>13</v>
      </c>
      <c r="B14" s="105" t="s">
        <v>46</v>
      </c>
      <c r="C14" s="106"/>
      <c r="D14" s="106"/>
      <c r="E14" s="106"/>
      <c r="F14" s="106"/>
      <c r="G14" s="106"/>
      <c r="H14" s="106"/>
      <c r="I14" s="150"/>
      <c r="J14" s="6"/>
      <c r="K14" s="97"/>
      <c r="L14" s="97"/>
      <c r="M14" s="8"/>
      <c r="N14" s="8"/>
      <c r="O14" s="109"/>
      <c r="P14"/>
      <c r="Q14"/>
      <c r="R14"/>
      <c r="S14"/>
      <c r="T14" s="165" t="s">
        <v>83</v>
      </c>
      <c r="U14" s="164" t="s">
        <v>82</v>
      </c>
      <c r="V14"/>
      <c r="W14"/>
      <c r="X14"/>
      <c r="Y14"/>
      <c r="Z14"/>
      <c r="AA14"/>
      <c r="AD14" s="172"/>
      <c r="AU14"/>
      <c r="AV14"/>
      <c r="AW14"/>
      <c r="AX14"/>
      <c r="AY14"/>
      <c r="AZ14"/>
    </row>
    <row r="15" spans="1:52" s="1" customFormat="1" ht="14.1" customHeight="1">
      <c r="A15" s="96" t="s">
        <v>20</v>
      </c>
      <c r="B15" s="105" t="s">
        <v>47</v>
      </c>
      <c r="C15" s="106"/>
      <c r="D15" s="106"/>
      <c r="E15" s="106"/>
      <c r="F15" s="106"/>
      <c r="G15" s="106"/>
      <c r="H15" s="106"/>
      <c r="I15" s="151">
        <v>150</v>
      </c>
      <c r="J15" s="1" t="s">
        <v>49</v>
      </c>
      <c r="K15" s="97">
        <f>I15+I16</f>
        <v>180</v>
      </c>
      <c r="L15" s="97"/>
      <c r="P15"/>
      <c r="Q15"/>
      <c r="R15"/>
      <c r="S15"/>
      <c r="T15"/>
      <c r="U15"/>
      <c r="V15"/>
      <c r="W15"/>
      <c r="X15"/>
      <c r="Y15"/>
      <c r="Z15"/>
      <c r="AA15"/>
      <c r="AD15" s="172"/>
      <c r="AU15"/>
      <c r="AV15"/>
      <c r="AW15"/>
      <c r="AX15"/>
      <c r="AY15"/>
      <c r="AZ15"/>
    </row>
    <row r="16" spans="1:52" s="40" customFormat="1" ht="14.1" customHeight="1">
      <c r="A16" s="96" t="s">
        <v>14</v>
      </c>
      <c r="B16" s="107" t="s">
        <v>48</v>
      </c>
      <c r="C16" s="108"/>
      <c r="D16" s="108"/>
      <c r="E16" s="108"/>
      <c r="F16" s="108"/>
      <c r="G16" s="108"/>
      <c r="H16" s="108"/>
      <c r="I16" s="152">
        <v>30</v>
      </c>
      <c r="J16" s="110"/>
      <c r="K16" s="97"/>
      <c r="L16" s="97"/>
      <c r="N16" s="1" t="s">
        <v>50</v>
      </c>
      <c r="O16" s="111" t="e">
        <f>I11*14</f>
        <v>#VALUE!</v>
      </c>
      <c r="P16"/>
      <c r="Q16"/>
      <c r="R16"/>
      <c r="S16"/>
      <c r="T16"/>
      <c r="U16"/>
      <c r="V16"/>
      <c r="W16"/>
      <c r="X16"/>
      <c r="Y16"/>
      <c r="Z16"/>
      <c r="AA16"/>
      <c r="AD16" s="172"/>
      <c r="AU16"/>
      <c r="AV16"/>
      <c r="AW16"/>
      <c r="AX16"/>
      <c r="AY16"/>
      <c r="AZ16"/>
    </row>
    <row r="17" spans="1:52" ht="14.1" customHeight="1">
      <c r="A17" s="96" t="s">
        <v>15</v>
      </c>
      <c r="B17" s="115" t="s">
        <v>51</v>
      </c>
      <c r="C17" s="116"/>
      <c r="D17" s="116"/>
      <c r="E17" s="116"/>
      <c r="F17" s="116"/>
      <c r="G17" s="116"/>
      <c r="H17" s="117"/>
      <c r="I17" s="153"/>
      <c r="J17" s="112"/>
      <c r="K17" s="97"/>
      <c r="L17" s="97"/>
      <c r="N17" s="1" t="s">
        <v>52</v>
      </c>
      <c r="O17" s="111" t="e">
        <f>I12*14</f>
        <v>#VALUE!</v>
      </c>
      <c r="P17"/>
      <c r="Q17"/>
      <c r="R17"/>
      <c r="S17"/>
      <c r="T17"/>
      <c r="U17"/>
      <c r="V17"/>
      <c r="W17"/>
      <c r="X17"/>
      <c r="Y17"/>
      <c r="Z17"/>
      <c r="AA17"/>
      <c r="AD17" s="172"/>
      <c r="AU17"/>
      <c r="AV17"/>
      <c r="AW17"/>
      <c r="AX17"/>
      <c r="AY17"/>
      <c r="AZ17"/>
    </row>
    <row r="18" spans="1:52" ht="14.1" customHeight="1">
      <c r="A18" s="96" t="s">
        <v>16</v>
      </c>
      <c r="B18" s="115" t="s">
        <v>53</v>
      </c>
      <c r="C18" s="116"/>
      <c r="D18" s="116"/>
      <c r="E18" s="116"/>
      <c r="F18" s="116"/>
      <c r="G18" s="116"/>
      <c r="H18" s="117"/>
      <c r="I18" s="154"/>
      <c r="J18" s="113"/>
      <c r="K18" s="97"/>
      <c r="L18" s="97"/>
      <c r="P18"/>
      <c r="Q18"/>
      <c r="R18"/>
      <c r="S18"/>
      <c r="T18"/>
      <c r="U18"/>
      <c r="V18"/>
      <c r="W18"/>
      <c r="X18"/>
      <c r="Y18"/>
      <c r="Z18"/>
      <c r="AA18"/>
      <c r="AD18" s="172"/>
      <c r="AU18"/>
      <c r="AV18"/>
      <c r="AW18"/>
      <c r="AX18"/>
      <c r="AY18"/>
      <c r="AZ18"/>
    </row>
    <row r="19" spans="1:52" ht="18.75" customHeight="1">
      <c r="A19" s="96" t="s">
        <v>17</v>
      </c>
      <c r="B19" s="115" t="s">
        <v>54</v>
      </c>
      <c r="C19" s="116"/>
      <c r="D19" s="116"/>
      <c r="E19" s="116"/>
      <c r="F19" s="116"/>
      <c r="G19" s="116"/>
      <c r="H19" s="117"/>
      <c r="I19" s="155" t="e">
        <f>I11</f>
        <v>#VALUE!</v>
      </c>
      <c r="J19" s="114"/>
      <c r="K19" s="97"/>
      <c r="L19" s="97"/>
      <c r="M19" s="8"/>
      <c r="P19"/>
      <c r="Q19"/>
      <c r="R19"/>
      <c r="S19"/>
      <c r="T19"/>
      <c r="U19"/>
      <c r="V19"/>
      <c r="W19"/>
      <c r="X19"/>
      <c r="Y19"/>
      <c r="Z19"/>
      <c r="AA19"/>
      <c r="AD19" s="172"/>
      <c r="AU19"/>
      <c r="AV19"/>
      <c r="AW19"/>
      <c r="AX19"/>
      <c r="AY19"/>
      <c r="AZ19"/>
    </row>
    <row r="20" spans="1:52" s="1" customFormat="1" ht="12" customHeight="1">
      <c r="A20" s="96" t="s">
        <v>18</v>
      </c>
      <c r="B20" s="115"/>
      <c r="C20" s="116"/>
      <c r="D20" s="116"/>
      <c r="E20" s="116"/>
      <c r="F20" s="116"/>
      <c r="G20" s="116"/>
      <c r="H20" s="117"/>
      <c r="I20" s="155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D20" s="172"/>
      <c r="AU20"/>
      <c r="AV20"/>
      <c r="AW20"/>
      <c r="AX20"/>
      <c r="AY20"/>
      <c r="AZ20"/>
    </row>
    <row r="21" spans="1:52" s="1" customFormat="1" ht="12" customHeight="1">
      <c r="A21" s="96" t="s">
        <v>19</v>
      </c>
      <c r="B21" s="115"/>
      <c r="C21" s="116"/>
      <c r="D21" s="116"/>
      <c r="E21" s="116"/>
      <c r="F21" s="116"/>
      <c r="G21" s="116"/>
      <c r="H21" s="117"/>
      <c r="I21" s="155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D21" s="172"/>
      <c r="AU21"/>
      <c r="AV21"/>
      <c r="AW21"/>
      <c r="AX21"/>
      <c r="AY21"/>
      <c r="AZ21"/>
    </row>
    <row r="22" spans="1:52" s="1" customFormat="1" ht="11.1" customHeight="1">
      <c r="A22" s="96" t="s">
        <v>16</v>
      </c>
      <c r="B22" s="115"/>
      <c r="C22" s="116"/>
      <c r="D22" s="116"/>
      <c r="E22" s="116"/>
      <c r="F22" s="116"/>
      <c r="G22" s="116"/>
      <c r="H22" s="117"/>
      <c r="I22" s="155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D22" s="172"/>
      <c r="AU22"/>
      <c r="AV22"/>
      <c r="AW22"/>
      <c r="AX22"/>
      <c r="AY22"/>
      <c r="AZ22"/>
    </row>
    <row r="23" spans="1:52" s="101" customFormat="1" ht="15" customHeight="1">
      <c r="A23" s="98" t="s">
        <v>17</v>
      </c>
      <c r="B23" s="119" t="s">
        <v>55</v>
      </c>
      <c r="C23" s="118"/>
      <c r="D23" s="116"/>
      <c r="E23" s="116"/>
      <c r="F23" s="116"/>
      <c r="G23" s="116"/>
      <c r="H23" s="117"/>
      <c r="I23" s="156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D23" s="172"/>
      <c r="AU23"/>
      <c r="AV23"/>
      <c r="AW23"/>
      <c r="AX23"/>
      <c r="AY23"/>
      <c r="AZ23"/>
    </row>
    <row r="24" spans="1:52" s="99" customFormat="1" ht="15" customHeight="1">
      <c r="A24" s="102"/>
      <c r="B24" s="115" t="s">
        <v>56</v>
      </c>
      <c r="C24" s="116"/>
      <c r="D24" s="116"/>
      <c r="E24" s="116"/>
      <c r="F24" s="116"/>
      <c r="G24" s="116"/>
      <c r="H24" s="117"/>
      <c r="I24" s="157" t="e">
        <f>I12</f>
        <v>#VALUE!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D24" s="172"/>
      <c r="AU24"/>
      <c r="AV24"/>
      <c r="AW24"/>
      <c r="AX24"/>
      <c r="AY24"/>
      <c r="AZ24"/>
    </row>
    <row r="25" spans="1:52" s="61" customFormat="1" ht="15" customHeight="1">
      <c r="A25" s="41"/>
      <c r="B25" s="115" t="s">
        <v>57</v>
      </c>
      <c r="C25" s="116"/>
      <c r="D25" s="116"/>
      <c r="E25" s="116"/>
      <c r="F25" s="116"/>
      <c r="G25" s="116"/>
      <c r="H25" s="117"/>
      <c r="I25" s="158" t="e">
        <f>I24/120*20</f>
        <v>#VALUE!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D25" s="172"/>
      <c r="AU25"/>
      <c r="AV25"/>
      <c r="AW25"/>
      <c r="AX25"/>
      <c r="AY25"/>
      <c r="AZ25"/>
    </row>
    <row r="26" spans="1:52" s="97" customFormat="1" ht="15" customHeight="1">
      <c r="A26" s="103"/>
      <c r="B26" s="115" t="s">
        <v>58</v>
      </c>
      <c r="C26" s="116"/>
      <c r="D26" s="116"/>
      <c r="E26" s="116"/>
      <c r="F26" s="116"/>
      <c r="G26" s="116"/>
      <c r="H26" s="117"/>
      <c r="I26" s="158" t="e">
        <f>I24-I25</f>
        <v>#VALUE!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D26" s="172"/>
      <c r="AU26"/>
      <c r="AV26"/>
      <c r="AW26"/>
      <c r="AX26"/>
      <c r="AY26"/>
      <c r="AZ26"/>
    </row>
    <row r="27" spans="1:52" s="97" customFormat="1" ht="15" customHeight="1">
      <c r="A27" s="103"/>
      <c r="B27" s="115" t="s">
        <v>59</v>
      </c>
      <c r="C27" s="116"/>
      <c r="D27" s="116"/>
      <c r="E27" s="116"/>
      <c r="F27" s="116"/>
      <c r="G27" s="116"/>
      <c r="H27" s="117"/>
      <c r="I27" s="158" t="e">
        <f>SUM(I28:I37)</f>
        <v>#VALUE!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D27" s="172"/>
      <c r="AU27"/>
      <c r="AV27"/>
      <c r="AW27"/>
      <c r="AX27"/>
      <c r="AY27"/>
      <c r="AZ27"/>
    </row>
    <row r="28" spans="1:52" s="97" customFormat="1" ht="15" customHeight="1">
      <c r="A28" s="103"/>
      <c r="B28" s="115" t="s">
        <v>60</v>
      </c>
      <c r="C28" s="116"/>
      <c r="D28" s="116"/>
      <c r="E28" s="116"/>
      <c r="F28" s="116"/>
      <c r="G28" s="116"/>
      <c r="H28" s="117"/>
      <c r="I28" s="158" t="e">
        <f>O11</f>
        <v>#VALUE!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D28" s="172"/>
      <c r="AU28"/>
      <c r="AV28"/>
      <c r="AW28"/>
      <c r="AX28"/>
      <c r="AY28"/>
      <c r="AZ28"/>
    </row>
    <row r="29" spans="1:52" s="97" customFormat="1" ht="15" customHeight="1">
      <c r="A29" s="103"/>
      <c r="B29" s="123" t="s">
        <v>61</v>
      </c>
      <c r="C29" s="124"/>
      <c r="D29" s="124"/>
      <c r="E29" s="124"/>
      <c r="F29" s="124"/>
      <c r="G29" s="121"/>
      <c r="H29" s="120" t="s">
        <v>62</v>
      </c>
      <c r="I29" s="159" t="e">
        <f>IF(H29=D43,I28*3.2%,0)</f>
        <v>#VALUE!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D29" s="172"/>
      <c r="AU29"/>
      <c r="AV29"/>
      <c r="AW29"/>
      <c r="AX29"/>
      <c r="AY29"/>
      <c r="AZ29"/>
    </row>
    <row r="30" spans="1:52" s="97" customFormat="1" ht="15" customHeight="1">
      <c r="A30" s="103"/>
      <c r="B30" s="115" t="s">
        <v>63</v>
      </c>
      <c r="C30" s="116"/>
      <c r="D30" s="116"/>
      <c r="E30" s="116"/>
      <c r="F30" s="116"/>
      <c r="G30" s="116"/>
      <c r="H30" s="117"/>
      <c r="I30" s="158">
        <f>AA11</f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D30" s="172"/>
      <c r="AU30"/>
      <c r="AV30"/>
      <c r="AW30"/>
      <c r="AX30"/>
      <c r="AY30"/>
      <c r="AZ30"/>
    </row>
    <row r="31" spans="1:52" s="97" customFormat="1" ht="15" customHeight="1">
      <c r="A31" s="103"/>
      <c r="B31" s="122" t="s">
        <v>64</v>
      </c>
      <c r="C31" s="116"/>
      <c r="D31" s="116"/>
      <c r="E31" s="116"/>
      <c r="F31" s="116"/>
      <c r="G31" s="116"/>
      <c r="H31" s="117"/>
      <c r="I31" s="158">
        <f>AB11</f>
        <v>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100"/>
      <c r="AC31" s="100"/>
      <c r="AD31" s="172"/>
      <c r="AE31" s="100"/>
      <c r="AF31" s="100"/>
      <c r="AU31"/>
      <c r="AV31"/>
      <c r="AW31"/>
      <c r="AX31"/>
      <c r="AY31"/>
      <c r="AZ31"/>
    </row>
    <row r="32" spans="1:52" s="97" customFormat="1" ht="15" customHeight="1">
      <c r="A32" s="103"/>
      <c r="B32" s="122" t="s">
        <v>65</v>
      </c>
      <c r="C32" s="116"/>
      <c r="D32" s="116"/>
      <c r="E32" s="116"/>
      <c r="F32" s="116"/>
      <c r="G32" s="116"/>
      <c r="H32" s="117"/>
      <c r="I32" s="158">
        <f>AC11</f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100"/>
      <c r="AC32" s="100"/>
      <c r="AD32" s="172"/>
      <c r="AE32" s="100"/>
      <c r="AF32" s="100"/>
      <c r="AU32"/>
      <c r="AV32"/>
      <c r="AW32"/>
      <c r="AX32"/>
      <c r="AY32"/>
      <c r="AZ32"/>
    </row>
    <row r="33" spans="1:52" s="97" customFormat="1" ht="15" customHeight="1">
      <c r="A33" s="103"/>
      <c r="B33" s="123" t="s">
        <v>69</v>
      </c>
      <c r="C33" s="124"/>
      <c r="D33" s="124"/>
      <c r="E33" s="124"/>
      <c r="F33" s="124"/>
      <c r="G33" s="121"/>
      <c r="H33" s="120" t="s">
        <v>66</v>
      </c>
      <c r="I33" s="159" t="e">
        <f>IF(H33="ДА",I28*16%/365*Длина_сделки,0)</f>
        <v>#VALUE!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100"/>
      <c r="AC33" s="100"/>
      <c r="AD33" s="172"/>
      <c r="AE33" s="100"/>
      <c r="AF33" s="100"/>
      <c r="AU33"/>
      <c r="AV33"/>
      <c r="AW33"/>
      <c r="AX33"/>
      <c r="AY33"/>
      <c r="AZ33"/>
    </row>
    <row r="34" spans="1:52" s="97" customFormat="1" ht="15" customHeight="1">
      <c r="A34" s="103"/>
      <c r="B34" s="122" t="s">
        <v>70</v>
      </c>
      <c r="C34" s="116"/>
      <c r="D34" s="116"/>
      <c r="E34" s="116"/>
      <c r="F34" s="116"/>
      <c r="G34" s="116"/>
      <c r="H34" s="117"/>
      <c r="I34" s="158">
        <f>AA11</f>
        <v>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00"/>
      <c r="AC34" s="100"/>
      <c r="AD34" s="172"/>
      <c r="AE34" s="100"/>
      <c r="AF34" s="100"/>
      <c r="AG34" s="100"/>
      <c r="AU34"/>
      <c r="AV34"/>
      <c r="AW34"/>
      <c r="AX34"/>
      <c r="AY34"/>
      <c r="AZ34"/>
    </row>
    <row r="35" spans="1:52" s="97" customFormat="1" ht="15" customHeight="1">
      <c r="A35" s="103"/>
      <c r="B35" s="122" t="s">
        <v>71</v>
      </c>
      <c r="C35" s="116"/>
      <c r="D35" s="116"/>
      <c r="E35" s="116"/>
      <c r="F35" s="116"/>
      <c r="G35" s="116"/>
      <c r="H35" s="117"/>
      <c r="I35" s="158">
        <f>AB11</f>
        <v>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00"/>
      <c r="AC35" s="100"/>
      <c r="AD35" s="172"/>
      <c r="AE35" s="100"/>
      <c r="AF35" s="100"/>
      <c r="AG35" s="100"/>
      <c r="AU35"/>
      <c r="AV35"/>
      <c r="AW35"/>
      <c r="AX35"/>
      <c r="AY35"/>
      <c r="AZ35"/>
    </row>
    <row r="36" spans="1:52" s="97" customFormat="1" ht="15" customHeight="1">
      <c r="A36" s="103"/>
      <c r="B36" s="122" t="s">
        <v>73</v>
      </c>
      <c r="C36" s="116"/>
      <c r="D36" s="116"/>
      <c r="E36" s="116"/>
      <c r="F36" s="116"/>
      <c r="G36" s="116"/>
      <c r="H36" s="117"/>
      <c r="I36" s="158">
        <f>AC11</f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00"/>
      <c r="AC36" s="100"/>
      <c r="AD36" s="172"/>
      <c r="AE36" s="100"/>
      <c r="AF36" s="100"/>
      <c r="AG36" s="100"/>
      <c r="AU36"/>
      <c r="AV36"/>
      <c r="AW36"/>
      <c r="AX36"/>
      <c r="AY36"/>
      <c r="AZ36"/>
    </row>
    <row r="37" spans="1:52" s="97" customFormat="1" ht="15" customHeight="1">
      <c r="A37" s="103"/>
      <c r="B37" s="123" t="s">
        <v>72</v>
      </c>
      <c r="C37" s="124"/>
      <c r="D37" s="124"/>
      <c r="E37" s="124"/>
      <c r="F37" s="124"/>
      <c r="G37" s="121"/>
      <c r="H37" s="120" t="s">
        <v>67</v>
      </c>
      <c r="I37" s="159">
        <f>IF(H37="ДА",I24*3%/365*(I15+I16),0)</f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100"/>
      <c r="AC37" s="100"/>
      <c r="AD37" s="172"/>
      <c r="AE37" s="100"/>
      <c r="AF37" s="100"/>
      <c r="AG37" s="100"/>
      <c r="AU37"/>
      <c r="AV37"/>
      <c r="AW37"/>
      <c r="AX37"/>
      <c r="AY37"/>
      <c r="AZ37"/>
    </row>
    <row r="38" spans="1:52" s="97" customFormat="1" ht="15" customHeight="1">
      <c r="A38" s="103"/>
      <c r="B38" s="122" t="s">
        <v>74</v>
      </c>
      <c r="C38" s="116"/>
      <c r="D38" s="116"/>
      <c r="E38" s="116"/>
      <c r="F38" s="116"/>
      <c r="G38" s="116"/>
      <c r="H38" s="117"/>
      <c r="I38" s="158" t="e">
        <f>I26-I27</f>
        <v>#VALUE!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s="100"/>
      <c r="AC38" s="100"/>
      <c r="AD38" s="172"/>
      <c r="AE38" s="100"/>
      <c r="AF38" s="100"/>
      <c r="AG38" s="100"/>
      <c r="AU38"/>
      <c r="AV38"/>
      <c r="AW38"/>
      <c r="AX38"/>
      <c r="AY38"/>
      <c r="AZ38"/>
    </row>
    <row r="39" spans="1:52" s="97" customFormat="1" ht="15" customHeight="1">
      <c r="A39" s="103"/>
      <c r="B39" s="122" t="s">
        <v>75</v>
      </c>
      <c r="C39" s="116"/>
      <c r="D39" s="116"/>
      <c r="E39" s="116"/>
      <c r="F39" s="116"/>
      <c r="G39" s="116"/>
      <c r="H39" s="117"/>
      <c r="I39" s="158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100"/>
      <c r="AC39" s="100"/>
      <c r="AD39" s="172"/>
      <c r="AE39" s="100"/>
      <c r="AF39" s="100"/>
      <c r="AG39" s="100"/>
      <c r="AU39"/>
      <c r="AV39"/>
      <c r="AW39"/>
      <c r="AX39"/>
      <c r="AY39"/>
      <c r="AZ39"/>
    </row>
    <row r="40" spans="1:52" s="97" customFormat="1" ht="15" customHeight="1">
      <c r="A40" s="103"/>
      <c r="B40" s="122" t="s">
        <v>76</v>
      </c>
      <c r="C40" s="116"/>
      <c r="D40" s="116"/>
      <c r="E40" s="116"/>
      <c r="F40" s="116"/>
      <c r="G40" s="116"/>
      <c r="H40" s="117"/>
      <c r="I40" s="160" t="e">
        <f>I38/I26</f>
        <v>#VALUE!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100"/>
      <c r="AC40" s="100"/>
      <c r="AD40" s="172"/>
      <c r="AE40" s="100"/>
      <c r="AF40" s="100"/>
      <c r="AG40" s="100"/>
      <c r="AU40"/>
      <c r="AV40"/>
      <c r="AW40"/>
      <c r="AX40"/>
      <c r="AY40"/>
      <c r="AZ40"/>
    </row>
    <row r="41" spans="1:52" s="97" customFormat="1" ht="12" customHeight="1">
      <c r="A41" s="1"/>
      <c r="B41"/>
      <c r="C41"/>
      <c r="D41"/>
      <c r="E41"/>
      <c r="F41"/>
      <c r="G41"/>
      <c r="H41"/>
      <c r="I41" s="16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 s="8"/>
      <c r="AC41" s="8"/>
      <c r="AD41" s="172"/>
      <c r="AE41" s="8"/>
      <c r="AF41" s="8"/>
      <c r="AG41" s="8"/>
      <c r="AU41"/>
      <c r="AV41"/>
      <c r="AW41"/>
      <c r="AX41"/>
      <c r="AY41"/>
      <c r="AZ41"/>
    </row>
    <row r="42" spans="1:52" s="1" customFormat="1" ht="11.25" customHeight="1">
      <c r="B42"/>
      <c r="C42"/>
      <c r="D42"/>
      <c r="E42"/>
      <c r="F42"/>
      <c r="G42"/>
      <c r="H42"/>
      <c r="I42" s="161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 s="8"/>
      <c r="AC42" s="8"/>
      <c r="AD42" s="172"/>
      <c r="AE42" s="8"/>
      <c r="AF42" s="8"/>
      <c r="AG42" s="8"/>
      <c r="AU42"/>
      <c r="AV42"/>
      <c r="AW42"/>
      <c r="AX42"/>
      <c r="AY42"/>
      <c r="AZ42"/>
    </row>
    <row r="43" spans="1:52" s="1" customFormat="1" ht="11.45" customHeight="1">
      <c r="C43" s="1" t="s">
        <v>66</v>
      </c>
      <c r="D43" s="1" t="s">
        <v>62</v>
      </c>
      <c r="E43"/>
      <c r="F43"/>
      <c r="G43"/>
      <c r="H43"/>
      <c r="I43" s="161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 s="8"/>
      <c r="AC43" s="8"/>
      <c r="AD43" s="172"/>
      <c r="AE43" s="8"/>
      <c r="AF43" s="8"/>
      <c r="AG43" s="8"/>
      <c r="AU43"/>
      <c r="AV43"/>
      <c r="AW43"/>
      <c r="AX43"/>
      <c r="AY43"/>
      <c r="AZ43"/>
    </row>
    <row r="44" spans="1:52" ht="11.45" customHeight="1">
      <c r="C44" s="1" t="s">
        <v>67</v>
      </c>
      <c r="D44" s="1" t="s">
        <v>68</v>
      </c>
      <c r="E44"/>
      <c r="F44"/>
      <c r="G44"/>
      <c r="H44"/>
      <c r="I44" s="161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D44" s="172"/>
      <c r="AU44"/>
      <c r="AV44"/>
      <c r="AW44"/>
      <c r="AX44"/>
      <c r="AY44"/>
      <c r="AZ44"/>
    </row>
    <row r="45" spans="1:52" ht="11.45" customHeight="1">
      <c r="B45"/>
      <c r="C45"/>
      <c r="D45"/>
      <c r="E45"/>
      <c r="F45"/>
      <c r="G45"/>
      <c r="H45"/>
      <c r="I45" s="161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D45" s="172"/>
      <c r="AU45"/>
      <c r="AV45"/>
      <c r="AW45"/>
      <c r="AX45"/>
      <c r="AY45"/>
      <c r="AZ45"/>
    </row>
    <row r="46" spans="1:52" ht="11.45" customHeight="1">
      <c r="B46"/>
      <c r="C46"/>
      <c r="D46"/>
      <c r="E46"/>
      <c r="F46"/>
      <c r="G46"/>
      <c r="H46"/>
      <c r="I46" s="161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D46" s="172"/>
      <c r="AU46"/>
      <c r="AV46"/>
      <c r="AW46"/>
      <c r="AX46"/>
      <c r="AY46"/>
      <c r="AZ46"/>
    </row>
    <row r="47" spans="1:52" ht="11.45" customHeight="1">
      <c r="B47"/>
      <c r="C47"/>
      <c r="D47"/>
      <c r="E47"/>
      <c r="F47"/>
      <c r="G47"/>
      <c r="H47"/>
      <c r="I47" s="161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D47" s="172"/>
      <c r="AU47"/>
      <c r="AV47"/>
      <c r="AW47"/>
      <c r="AX47"/>
      <c r="AY47"/>
      <c r="AZ47"/>
    </row>
    <row r="48" spans="1:52" ht="11.45" customHeight="1">
      <c r="AD48" s="172"/>
      <c r="AU48"/>
      <c r="AV48"/>
      <c r="AW48"/>
      <c r="AX48"/>
      <c r="AY48"/>
      <c r="AZ48"/>
    </row>
    <row r="49" spans="30:52" ht="11.45" customHeight="1">
      <c r="AD49" s="172"/>
      <c r="AU49"/>
      <c r="AV49"/>
      <c r="AW49"/>
      <c r="AX49"/>
      <c r="AY49"/>
      <c r="AZ49"/>
    </row>
    <row r="50" spans="30:52" ht="11.45" customHeight="1">
      <c r="AD50" s="172"/>
      <c r="AU50"/>
      <c r="AV50"/>
      <c r="AW50"/>
      <c r="AX50"/>
      <c r="AY50"/>
      <c r="AZ50"/>
    </row>
    <row r="51" spans="30:52" ht="11.45" customHeight="1">
      <c r="AD51" s="172"/>
      <c r="AU51"/>
      <c r="AV51"/>
      <c r="AW51"/>
      <c r="AX51"/>
      <c r="AY51"/>
      <c r="AZ51"/>
    </row>
    <row r="52" spans="30:52" ht="11.45" customHeight="1">
      <c r="AD52" s="172"/>
      <c r="AU52"/>
      <c r="AV52"/>
      <c r="AW52"/>
      <c r="AX52"/>
      <c r="AY52"/>
      <c r="AZ52"/>
    </row>
    <row r="53" spans="30:52" ht="11.45" customHeight="1">
      <c r="AD53" s="172"/>
      <c r="AU53"/>
      <c r="AV53"/>
      <c r="AW53"/>
      <c r="AX53"/>
      <c r="AY53"/>
      <c r="AZ53"/>
    </row>
    <row r="54" spans="30:52" ht="11.45" customHeight="1">
      <c r="AD54" s="172"/>
      <c r="AU54"/>
      <c r="AV54"/>
      <c r="AW54"/>
      <c r="AX54"/>
      <c r="AY54"/>
      <c r="AZ54"/>
    </row>
    <row r="55" spans="30:52" ht="11.45" customHeight="1">
      <c r="AD55" s="172"/>
      <c r="AU55"/>
      <c r="AV55"/>
      <c r="AW55"/>
      <c r="AX55"/>
      <c r="AY55"/>
      <c r="AZ55"/>
    </row>
    <row r="56" spans="30:52" ht="11.45" customHeight="1">
      <c r="AD56" s="172"/>
      <c r="AU56"/>
      <c r="AV56"/>
      <c r="AW56"/>
      <c r="AX56"/>
      <c r="AY56"/>
      <c r="AZ56"/>
    </row>
    <row r="57" spans="30:52" ht="11.45" customHeight="1">
      <c r="AD57" s="172"/>
      <c r="AU57"/>
      <c r="AV57"/>
      <c r="AW57"/>
      <c r="AX57"/>
      <c r="AY57"/>
      <c r="AZ57"/>
    </row>
    <row r="58" spans="30:52" ht="11.45" customHeight="1">
      <c r="AD58" s="172"/>
      <c r="AU58"/>
      <c r="AV58"/>
      <c r="AW58"/>
      <c r="AX58"/>
      <c r="AY58"/>
      <c r="AZ58"/>
    </row>
    <row r="59" spans="30:52" ht="11.45" customHeight="1">
      <c r="AD59" s="172"/>
      <c r="AU59"/>
      <c r="AV59"/>
      <c r="AW59"/>
      <c r="AX59"/>
      <c r="AY59"/>
      <c r="AZ59"/>
    </row>
    <row r="60" spans="30:52" ht="11.45" customHeight="1">
      <c r="AD60" s="172"/>
      <c r="AU60"/>
      <c r="AV60"/>
      <c r="AW60"/>
      <c r="AX60"/>
      <c r="AY60"/>
      <c r="AZ60"/>
    </row>
    <row r="61" spans="30:52" ht="11.45" customHeight="1">
      <c r="AD61" s="172"/>
      <c r="AU61"/>
      <c r="AV61"/>
      <c r="AW61"/>
      <c r="AX61"/>
      <c r="AY61"/>
      <c r="AZ61"/>
    </row>
    <row r="62" spans="30:52" ht="11.45" customHeight="1">
      <c r="AD62" s="172"/>
      <c r="AU62"/>
      <c r="AV62"/>
      <c r="AW62"/>
      <c r="AX62"/>
      <c r="AY62"/>
      <c r="AZ62"/>
    </row>
    <row r="63" spans="30:52" ht="11.45" customHeight="1">
      <c r="AD63" s="172"/>
      <c r="AU63"/>
      <c r="AV63"/>
      <c r="AW63"/>
      <c r="AX63"/>
      <c r="AY63"/>
      <c r="AZ63"/>
    </row>
    <row r="64" spans="30:52" ht="11.45" customHeight="1">
      <c r="AD64" s="172"/>
      <c r="AU64"/>
      <c r="AV64"/>
      <c r="AW64"/>
      <c r="AX64"/>
      <c r="AY64"/>
      <c r="AZ64"/>
    </row>
    <row r="65" spans="30:52" ht="11.45" customHeight="1">
      <c r="AD65" s="172"/>
      <c r="AU65"/>
      <c r="AV65"/>
      <c r="AW65"/>
      <c r="AX65"/>
      <c r="AY65"/>
      <c r="AZ65"/>
    </row>
    <row r="66" spans="30:52" ht="11.45" customHeight="1">
      <c r="AD66" s="172"/>
      <c r="AU66"/>
      <c r="AV66"/>
      <c r="AW66"/>
      <c r="AX66"/>
      <c r="AY66"/>
      <c r="AZ66"/>
    </row>
    <row r="67" spans="30:52" ht="11.45" customHeight="1">
      <c r="AD67" s="172"/>
      <c r="AU67"/>
      <c r="AV67"/>
      <c r="AW67"/>
      <c r="AX67"/>
      <c r="AY67"/>
      <c r="AZ67"/>
    </row>
    <row r="68" spans="30:52" ht="11.45" customHeight="1">
      <c r="AD68" s="172"/>
      <c r="AU68"/>
      <c r="AV68"/>
      <c r="AW68"/>
      <c r="AX68"/>
      <c r="AY68"/>
      <c r="AZ68"/>
    </row>
    <row r="69" spans="30:52" ht="11.45" customHeight="1">
      <c r="AD69" s="172"/>
      <c r="AU69"/>
      <c r="AV69"/>
      <c r="AW69"/>
      <c r="AX69"/>
      <c r="AY69"/>
      <c r="AZ69"/>
    </row>
    <row r="70" spans="30:52" ht="11.45" customHeight="1">
      <c r="AD70" s="172"/>
      <c r="AU70"/>
      <c r="AV70"/>
      <c r="AW70"/>
      <c r="AX70"/>
      <c r="AY70"/>
      <c r="AZ70"/>
    </row>
    <row r="71" spans="30:52" ht="11.45" customHeight="1">
      <c r="AD71" s="172"/>
      <c r="AU71"/>
      <c r="AV71"/>
      <c r="AW71"/>
      <c r="AX71"/>
      <c r="AY71"/>
      <c r="AZ71"/>
    </row>
    <row r="72" spans="30:52" ht="11.45" customHeight="1">
      <c r="AD72" s="172"/>
      <c r="AU72"/>
      <c r="AV72"/>
      <c r="AW72"/>
      <c r="AX72"/>
      <c r="AY72"/>
      <c r="AZ72"/>
    </row>
    <row r="73" spans="30:52" ht="11.45" customHeight="1">
      <c r="AD73" s="172"/>
      <c r="AU73"/>
      <c r="AV73"/>
      <c r="AW73"/>
      <c r="AX73"/>
      <c r="AY73"/>
      <c r="AZ73"/>
    </row>
    <row r="74" spans="30:52" ht="11.45" customHeight="1">
      <c r="AD74" s="172"/>
      <c r="AU74"/>
      <c r="AV74"/>
      <c r="AW74"/>
      <c r="AX74"/>
      <c r="AY74"/>
      <c r="AZ74"/>
    </row>
    <row r="75" spans="30:52" ht="11.45" customHeight="1">
      <c r="AD75" s="172"/>
      <c r="AU75"/>
      <c r="AV75"/>
      <c r="AW75"/>
      <c r="AX75"/>
      <c r="AY75"/>
      <c r="AZ75"/>
    </row>
    <row r="76" spans="30:52" ht="11.45" customHeight="1">
      <c r="AD76" s="172"/>
      <c r="AU76"/>
      <c r="AV76"/>
      <c r="AW76"/>
      <c r="AX76"/>
      <c r="AY76"/>
      <c r="AZ76"/>
    </row>
    <row r="77" spans="30:52" ht="11.45" customHeight="1">
      <c r="AD77" s="172"/>
      <c r="AU77"/>
      <c r="AV77"/>
      <c r="AW77"/>
      <c r="AX77"/>
      <c r="AY77"/>
      <c r="AZ77"/>
    </row>
    <row r="78" spans="30:52" ht="11.45" customHeight="1">
      <c r="AD78" s="172"/>
      <c r="AU78"/>
      <c r="AV78"/>
      <c r="AW78"/>
      <c r="AX78"/>
      <c r="AY78"/>
      <c r="AZ78"/>
    </row>
    <row r="79" spans="30:52" ht="11.45" customHeight="1">
      <c r="AD79" s="172"/>
      <c r="AU79"/>
      <c r="AV79"/>
      <c r="AW79"/>
      <c r="AX79"/>
      <c r="AY79"/>
      <c r="AZ79"/>
    </row>
    <row r="80" spans="30:52" ht="11.45" customHeight="1">
      <c r="AD80" s="172"/>
      <c r="AU80"/>
      <c r="AV80"/>
      <c r="AW80"/>
      <c r="AX80"/>
      <c r="AY80"/>
      <c r="AZ80"/>
    </row>
    <row r="81" spans="30:52" ht="11.45" customHeight="1">
      <c r="AD81" s="172"/>
      <c r="AU81"/>
      <c r="AV81"/>
      <c r="AW81"/>
      <c r="AX81"/>
      <c r="AY81"/>
      <c r="AZ81"/>
    </row>
    <row r="82" spans="30:52" ht="11.45" customHeight="1">
      <c r="AD82" s="172"/>
      <c r="AU82"/>
      <c r="AV82"/>
      <c r="AW82"/>
      <c r="AX82"/>
      <c r="AY82"/>
      <c r="AZ82"/>
    </row>
    <row r="83" spans="30:52" ht="11.45" customHeight="1">
      <c r="AD83" s="172"/>
      <c r="AU83"/>
      <c r="AV83"/>
      <c r="AW83"/>
      <c r="AX83"/>
      <c r="AY83"/>
      <c r="AZ83"/>
    </row>
    <row r="84" spans="30:52" ht="11.45" customHeight="1">
      <c r="AD84" s="172"/>
      <c r="AU84"/>
      <c r="AV84"/>
      <c r="AW84"/>
      <c r="AX84"/>
      <c r="AY84"/>
      <c r="AZ84"/>
    </row>
    <row r="85" spans="30:52" ht="11.45" customHeight="1">
      <c r="AD85" s="172"/>
      <c r="AU85"/>
      <c r="AV85"/>
      <c r="AW85"/>
      <c r="AX85"/>
      <c r="AY85"/>
      <c r="AZ85"/>
    </row>
    <row r="86" spans="30:52" ht="11.45" customHeight="1">
      <c r="AD86" s="172"/>
      <c r="AU86"/>
      <c r="AV86"/>
      <c r="AW86"/>
      <c r="AX86"/>
      <c r="AY86"/>
      <c r="AZ86"/>
    </row>
    <row r="87" spans="30:52" ht="11.45" customHeight="1">
      <c r="AD87" s="172"/>
      <c r="AU87"/>
      <c r="AV87"/>
      <c r="AW87"/>
      <c r="AX87"/>
      <c r="AY87"/>
      <c r="AZ87"/>
    </row>
    <row r="88" spans="30:52" ht="11.45" customHeight="1">
      <c r="AD88" s="172"/>
      <c r="AU88"/>
      <c r="AV88"/>
      <c r="AW88"/>
      <c r="AX88"/>
      <c r="AY88"/>
      <c r="AZ88"/>
    </row>
    <row r="89" spans="30:52" ht="11.45" customHeight="1">
      <c r="AD89" s="172"/>
      <c r="AU89"/>
      <c r="AV89"/>
      <c r="AW89"/>
      <c r="AX89"/>
      <c r="AY89"/>
      <c r="AZ89"/>
    </row>
    <row r="90" spans="30:52" ht="11.45" customHeight="1">
      <c r="AD90" s="172"/>
      <c r="AU90"/>
      <c r="AV90"/>
      <c r="AW90"/>
      <c r="AX90"/>
      <c r="AY90"/>
      <c r="AZ90"/>
    </row>
    <row r="91" spans="30:52" ht="11.45" customHeight="1">
      <c r="AD91" s="172"/>
      <c r="AU91"/>
      <c r="AV91"/>
      <c r="AW91"/>
      <c r="AX91"/>
      <c r="AY91"/>
      <c r="AZ91"/>
    </row>
    <row r="92" spans="30:52" ht="11.45" customHeight="1">
      <c r="AD92" s="172"/>
      <c r="AU92"/>
      <c r="AV92"/>
      <c r="AW92"/>
      <c r="AX92"/>
      <c r="AY92"/>
      <c r="AZ92"/>
    </row>
    <row r="93" spans="30:52" ht="11.45" customHeight="1">
      <c r="AD93" s="172"/>
      <c r="AU93"/>
      <c r="AV93"/>
      <c r="AW93"/>
      <c r="AX93"/>
      <c r="AY93"/>
      <c r="AZ93"/>
    </row>
    <row r="94" spans="30:52" ht="11.45" customHeight="1">
      <c r="AD94" s="172"/>
      <c r="AU94"/>
      <c r="AV94"/>
      <c r="AW94"/>
      <c r="AX94"/>
      <c r="AY94"/>
      <c r="AZ94"/>
    </row>
    <row r="95" spans="30:52" ht="11.45" customHeight="1">
      <c r="AD95" s="172"/>
      <c r="AU95"/>
      <c r="AV95"/>
      <c r="AW95"/>
      <c r="AX95"/>
      <c r="AY95"/>
      <c r="AZ95"/>
    </row>
    <row r="96" spans="30:52" ht="11.45" customHeight="1">
      <c r="AD96" s="172"/>
      <c r="AU96"/>
      <c r="AV96"/>
      <c r="AW96"/>
      <c r="AX96"/>
      <c r="AY96"/>
      <c r="AZ96"/>
    </row>
    <row r="97" spans="30:52" ht="11.45" customHeight="1">
      <c r="AD97" s="172"/>
      <c r="AU97"/>
      <c r="AV97"/>
      <c r="AW97"/>
      <c r="AX97"/>
      <c r="AY97"/>
      <c r="AZ97"/>
    </row>
    <row r="98" spans="30:52" ht="11.45" customHeight="1">
      <c r="AD98" s="172"/>
      <c r="AU98"/>
      <c r="AV98"/>
      <c r="AW98"/>
      <c r="AX98"/>
      <c r="AY98"/>
      <c r="AZ98"/>
    </row>
    <row r="99" spans="30:52" ht="11.45" customHeight="1">
      <c r="AD99" s="172"/>
      <c r="AU99"/>
      <c r="AV99"/>
      <c r="AW99"/>
      <c r="AX99"/>
      <c r="AY99"/>
      <c r="AZ99"/>
    </row>
    <row r="100" spans="30:52" ht="11.45" customHeight="1">
      <c r="AD100" s="172"/>
      <c r="AU100"/>
      <c r="AV100"/>
      <c r="AW100"/>
      <c r="AX100"/>
      <c r="AY100"/>
      <c r="AZ100"/>
    </row>
    <row r="101" spans="30:52" ht="11.45" customHeight="1">
      <c r="AD101" s="172"/>
      <c r="AU101"/>
      <c r="AV101"/>
      <c r="AW101"/>
      <c r="AX101"/>
      <c r="AY101"/>
      <c r="AZ101"/>
    </row>
    <row r="102" spans="30:52" ht="11.45" customHeight="1">
      <c r="AD102" s="172"/>
      <c r="AU102"/>
      <c r="AV102"/>
      <c r="AW102"/>
      <c r="AX102"/>
      <c r="AY102"/>
      <c r="AZ102"/>
    </row>
    <row r="103" spans="30:52" ht="11.45" customHeight="1">
      <c r="AD103" s="172"/>
      <c r="AU103"/>
      <c r="AV103"/>
      <c r="AW103"/>
      <c r="AX103"/>
      <c r="AY103"/>
      <c r="AZ103"/>
    </row>
    <row r="104" spans="30:52" ht="11.45" customHeight="1">
      <c r="AD104" s="172"/>
      <c r="AU104"/>
      <c r="AV104"/>
      <c r="AW104"/>
      <c r="AX104"/>
      <c r="AY104"/>
      <c r="AZ104"/>
    </row>
    <row r="105" spans="30:52" ht="11.45" customHeight="1">
      <c r="AD105" s="172"/>
      <c r="AU105"/>
      <c r="AV105"/>
      <c r="AW105"/>
      <c r="AX105"/>
      <c r="AY105"/>
      <c r="AZ105"/>
    </row>
    <row r="106" spans="30:52" ht="11.45" customHeight="1">
      <c r="AD106" s="172"/>
      <c r="AU106"/>
      <c r="AV106"/>
      <c r="AW106"/>
      <c r="AX106"/>
      <c r="AY106"/>
      <c r="AZ106"/>
    </row>
    <row r="107" spans="30:52" ht="11.45" customHeight="1">
      <c r="AD107" s="172"/>
      <c r="AU107"/>
      <c r="AV107"/>
      <c r="AW107"/>
      <c r="AX107"/>
      <c r="AY107"/>
      <c r="AZ107"/>
    </row>
    <row r="108" spans="30:52" ht="11.45" customHeight="1">
      <c r="AD108" s="172"/>
      <c r="AU108"/>
      <c r="AV108"/>
      <c r="AW108"/>
      <c r="AX108"/>
      <c r="AY108"/>
      <c r="AZ108"/>
    </row>
    <row r="109" spans="30:52" ht="11.45" customHeight="1">
      <c r="AD109" s="172"/>
      <c r="AU109"/>
      <c r="AV109"/>
      <c r="AW109"/>
      <c r="AX109"/>
      <c r="AY109"/>
      <c r="AZ109"/>
    </row>
    <row r="110" spans="30:52" ht="11.45" customHeight="1">
      <c r="AD110" s="172"/>
      <c r="AU110"/>
      <c r="AV110"/>
      <c r="AW110"/>
      <c r="AX110"/>
      <c r="AY110"/>
      <c r="AZ110"/>
    </row>
    <row r="111" spans="30:52" ht="11.45" customHeight="1">
      <c r="AD111" s="172"/>
      <c r="AU111"/>
      <c r="AV111"/>
      <c r="AW111"/>
      <c r="AX111"/>
      <c r="AY111"/>
      <c r="AZ111"/>
    </row>
    <row r="112" spans="30:52" ht="11.45" customHeight="1">
      <c r="AD112" s="172"/>
      <c r="AU112"/>
      <c r="AV112"/>
      <c r="AW112"/>
      <c r="AX112"/>
      <c r="AY112"/>
      <c r="AZ112"/>
    </row>
    <row r="113" spans="30:52" ht="11.45" customHeight="1">
      <c r="AD113" s="172"/>
      <c r="AU113"/>
      <c r="AV113"/>
      <c r="AW113"/>
      <c r="AX113"/>
      <c r="AY113"/>
      <c r="AZ113"/>
    </row>
    <row r="114" spans="30:52" ht="11.45" customHeight="1">
      <c r="AD114" s="172"/>
      <c r="AU114"/>
      <c r="AV114"/>
      <c r="AW114"/>
      <c r="AX114"/>
      <c r="AY114"/>
      <c r="AZ114"/>
    </row>
    <row r="115" spans="30:52" ht="11.45" customHeight="1">
      <c r="AD115" s="172"/>
      <c r="AU115"/>
      <c r="AV115"/>
      <c r="AW115"/>
      <c r="AX115"/>
      <c r="AY115"/>
      <c r="AZ115"/>
    </row>
    <row r="116" spans="30:52" ht="11.45" customHeight="1">
      <c r="AD116" s="172"/>
      <c r="AU116"/>
      <c r="AV116"/>
      <c r="AW116"/>
      <c r="AX116"/>
      <c r="AY116"/>
      <c r="AZ116"/>
    </row>
    <row r="117" spans="30:52" ht="11.45" customHeight="1">
      <c r="AD117" s="172"/>
      <c r="AU117"/>
      <c r="AV117"/>
      <c r="AW117"/>
      <c r="AX117"/>
      <c r="AY117"/>
      <c r="AZ117"/>
    </row>
    <row r="118" spans="30:52" ht="11.45" customHeight="1">
      <c r="AD118" s="172"/>
      <c r="AU118"/>
      <c r="AV118"/>
      <c r="AW118"/>
      <c r="AX118"/>
      <c r="AY118"/>
      <c r="AZ118"/>
    </row>
    <row r="119" spans="30:52" ht="11.45" customHeight="1">
      <c r="AD119" s="172"/>
      <c r="AU119"/>
      <c r="AV119"/>
      <c r="AW119"/>
      <c r="AX119"/>
      <c r="AY119"/>
      <c r="AZ119"/>
    </row>
    <row r="120" spans="30:52" ht="11.45" customHeight="1">
      <c r="AD120" s="172"/>
      <c r="AU120"/>
      <c r="AV120"/>
      <c r="AW120"/>
      <c r="AX120"/>
      <c r="AY120"/>
      <c r="AZ120"/>
    </row>
    <row r="121" spans="30:52" ht="11.45" customHeight="1">
      <c r="AD121" s="172"/>
      <c r="AU121"/>
      <c r="AV121"/>
      <c r="AW121"/>
      <c r="AX121"/>
      <c r="AY121"/>
      <c r="AZ121"/>
    </row>
    <row r="122" spans="30:52" ht="11.45" customHeight="1">
      <c r="AD122" s="172"/>
      <c r="AU122"/>
      <c r="AV122"/>
      <c r="AW122"/>
      <c r="AX122"/>
      <c r="AY122"/>
      <c r="AZ122"/>
    </row>
    <row r="123" spans="30:52" ht="11.45" customHeight="1">
      <c r="AD123" s="172"/>
      <c r="AU123"/>
      <c r="AV123"/>
      <c r="AW123"/>
      <c r="AX123"/>
      <c r="AY123"/>
      <c r="AZ123"/>
    </row>
    <row r="124" spans="30:52" ht="11.45" customHeight="1">
      <c r="AD124" s="172"/>
      <c r="AU124"/>
      <c r="AV124"/>
      <c r="AW124"/>
      <c r="AX124"/>
      <c r="AY124"/>
      <c r="AZ124"/>
    </row>
    <row r="125" spans="30:52" ht="11.45" customHeight="1">
      <c r="AD125" s="172"/>
      <c r="AU125"/>
      <c r="AV125"/>
      <c r="AW125"/>
      <c r="AX125"/>
      <c r="AY125"/>
      <c r="AZ125"/>
    </row>
    <row r="126" spans="30:52" ht="11.45" customHeight="1">
      <c r="AD126" s="172"/>
      <c r="AU126"/>
      <c r="AV126"/>
      <c r="AW126"/>
      <c r="AX126"/>
      <c r="AY126"/>
      <c r="AZ126"/>
    </row>
    <row r="127" spans="30:52" ht="11.45" customHeight="1">
      <c r="AD127" s="172"/>
      <c r="AU127"/>
      <c r="AV127"/>
      <c r="AW127"/>
      <c r="AX127"/>
      <c r="AY127"/>
      <c r="AZ127"/>
    </row>
    <row r="128" spans="30:52" ht="11.45" customHeight="1">
      <c r="AD128" s="172"/>
      <c r="AU128"/>
      <c r="AV128"/>
      <c r="AW128"/>
      <c r="AX128"/>
      <c r="AY128"/>
      <c r="AZ128"/>
    </row>
    <row r="129" spans="30:52" ht="11.45" customHeight="1">
      <c r="AD129" s="172"/>
      <c r="AU129"/>
      <c r="AV129"/>
      <c r="AW129"/>
      <c r="AX129"/>
      <c r="AY129"/>
      <c r="AZ129"/>
    </row>
    <row r="130" spans="30:52" ht="11.45" customHeight="1">
      <c r="AD130" s="172"/>
      <c r="AU130"/>
      <c r="AV130"/>
      <c r="AW130"/>
      <c r="AX130"/>
      <c r="AY130"/>
      <c r="AZ130"/>
    </row>
    <row r="131" spans="30:52" ht="11.45" customHeight="1">
      <c r="AD131" s="172"/>
      <c r="AU131"/>
      <c r="AV131"/>
      <c r="AW131"/>
      <c r="AX131"/>
      <c r="AY131"/>
      <c r="AZ131"/>
    </row>
    <row r="132" spans="30:52" ht="11.45" customHeight="1">
      <c r="AD132" s="172"/>
      <c r="AU132"/>
      <c r="AV132"/>
      <c r="AW132"/>
      <c r="AX132"/>
      <c r="AY132"/>
      <c r="AZ132"/>
    </row>
    <row r="133" spans="30:52" ht="11.45" customHeight="1">
      <c r="AD133" s="172"/>
      <c r="AU133"/>
      <c r="AV133"/>
      <c r="AW133"/>
      <c r="AX133"/>
      <c r="AY133"/>
      <c r="AZ133"/>
    </row>
    <row r="134" spans="30:52" ht="11.45" customHeight="1">
      <c r="AD134" s="172"/>
      <c r="AU134"/>
      <c r="AV134"/>
      <c r="AW134"/>
      <c r="AX134"/>
      <c r="AY134"/>
      <c r="AZ134"/>
    </row>
    <row r="135" spans="30:52" ht="11.45" customHeight="1">
      <c r="AD135" s="172"/>
      <c r="AU135"/>
      <c r="AV135"/>
      <c r="AW135"/>
      <c r="AX135"/>
      <c r="AY135"/>
      <c r="AZ135"/>
    </row>
    <row r="136" spans="30:52" ht="11.45" customHeight="1">
      <c r="AD136" s="172"/>
      <c r="AU136"/>
      <c r="AV136"/>
      <c r="AW136"/>
      <c r="AX136"/>
      <c r="AY136"/>
      <c r="AZ136"/>
    </row>
    <row r="137" spans="30:52" ht="11.45" customHeight="1">
      <c r="AD137" s="172"/>
      <c r="AU137"/>
      <c r="AV137"/>
      <c r="AW137"/>
      <c r="AX137"/>
      <c r="AY137"/>
      <c r="AZ137"/>
    </row>
    <row r="138" spans="30:52" ht="11.45" customHeight="1">
      <c r="AD138" s="172"/>
      <c r="AU138"/>
      <c r="AV138"/>
      <c r="AW138"/>
      <c r="AX138"/>
      <c r="AY138"/>
      <c r="AZ138"/>
    </row>
    <row r="139" spans="30:52" ht="11.45" customHeight="1">
      <c r="AD139" s="172"/>
      <c r="AU139"/>
      <c r="AV139"/>
      <c r="AW139"/>
      <c r="AX139"/>
      <c r="AY139"/>
      <c r="AZ139"/>
    </row>
    <row r="140" spans="30:52" ht="11.45" customHeight="1">
      <c r="AD140" s="172"/>
      <c r="AU140"/>
      <c r="AV140"/>
      <c r="AW140"/>
      <c r="AX140"/>
      <c r="AY140"/>
      <c r="AZ140"/>
    </row>
    <row r="141" spans="30:52" ht="11.45" customHeight="1">
      <c r="AD141" s="172"/>
      <c r="AU141"/>
      <c r="AV141"/>
      <c r="AW141"/>
      <c r="AX141"/>
      <c r="AY141"/>
      <c r="AZ141"/>
    </row>
    <row r="142" spans="30:52" ht="11.45" customHeight="1">
      <c r="AD142" s="172"/>
      <c r="AU142"/>
      <c r="AV142"/>
      <c r="AW142"/>
      <c r="AX142"/>
      <c r="AY142"/>
      <c r="AZ142"/>
    </row>
    <row r="143" spans="30:52" ht="11.45" customHeight="1">
      <c r="AD143" s="172"/>
      <c r="AU143"/>
      <c r="AV143"/>
      <c r="AW143"/>
      <c r="AX143"/>
      <c r="AY143"/>
      <c r="AZ143"/>
    </row>
    <row r="144" spans="30:52" ht="11.45" customHeight="1">
      <c r="AD144" s="172"/>
      <c r="AU144"/>
      <c r="AV144"/>
      <c r="AW144"/>
      <c r="AX144"/>
      <c r="AY144"/>
      <c r="AZ144"/>
    </row>
    <row r="145" spans="30:52" ht="11.45" customHeight="1">
      <c r="AD145" s="172"/>
      <c r="AU145"/>
      <c r="AV145"/>
      <c r="AW145"/>
      <c r="AX145"/>
      <c r="AY145"/>
      <c r="AZ145"/>
    </row>
    <row r="146" spans="30:52" ht="11.45" customHeight="1">
      <c r="AD146" s="172"/>
      <c r="AU146"/>
      <c r="AV146"/>
      <c r="AW146"/>
      <c r="AX146"/>
      <c r="AY146"/>
      <c r="AZ146"/>
    </row>
    <row r="147" spans="30:52" ht="11.45" customHeight="1">
      <c r="AD147" s="172"/>
      <c r="AU147"/>
      <c r="AV147"/>
      <c r="AW147"/>
      <c r="AX147"/>
      <c r="AY147"/>
      <c r="AZ147"/>
    </row>
    <row r="148" spans="30:52" ht="11.45" customHeight="1">
      <c r="AD148" s="172"/>
      <c r="AU148"/>
      <c r="AV148"/>
      <c r="AW148"/>
      <c r="AX148"/>
      <c r="AY148"/>
      <c r="AZ148"/>
    </row>
    <row r="149" spans="30:52" ht="11.45" customHeight="1">
      <c r="AD149" s="172"/>
      <c r="AU149"/>
      <c r="AV149"/>
      <c r="AW149"/>
      <c r="AX149"/>
      <c r="AY149"/>
      <c r="AZ149"/>
    </row>
    <row r="150" spans="30:52" ht="11.45" customHeight="1">
      <c r="AD150" s="172"/>
      <c r="AU150"/>
      <c r="AV150"/>
      <c r="AW150"/>
      <c r="AX150"/>
      <c r="AY150"/>
      <c r="AZ150"/>
    </row>
    <row r="151" spans="30:52" ht="11.45" customHeight="1">
      <c r="AD151" s="172"/>
      <c r="AU151"/>
      <c r="AV151"/>
      <c r="AW151"/>
      <c r="AX151"/>
      <c r="AY151"/>
      <c r="AZ151"/>
    </row>
    <row r="152" spans="30:52" ht="11.45" customHeight="1">
      <c r="AD152" s="172"/>
      <c r="AU152"/>
      <c r="AV152"/>
      <c r="AW152"/>
      <c r="AX152"/>
      <c r="AY152"/>
      <c r="AZ152"/>
    </row>
    <row r="153" spans="30:52" ht="11.45" customHeight="1">
      <c r="AD153" s="172"/>
      <c r="AU153"/>
      <c r="AV153"/>
      <c r="AW153"/>
      <c r="AX153"/>
      <c r="AY153"/>
      <c r="AZ153"/>
    </row>
    <row r="154" spans="30:52" ht="11.45" customHeight="1">
      <c r="AD154" s="172"/>
      <c r="AU154"/>
      <c r="AV154"/>
      <c r="AW154"/>
      <c r="AX154"/>
      <c r="AY154"/>
      <c r="AZ154"/>
    </row>
    <row r="155" spans="30:52" ht="11.45" customHeight="1">
      <c r="AD155" s="172"/>
      <c r="AU155"/>
      <c r="AV155"/>
      <c r="AW155"/>
      <c r="AX155"/>
      <c r="AY155"/>
      <c r="AZ155"/>
    </row>
    <row r="156" spans="30:52" ht="11.45" customHeight="1">
      <c r="AD156" s="172"/>
      <c r="AU156"/>
      <c r="AV156"/>
      <c r="AW156"/>
      <c r="AX156"/>
      <c r="AY156"/>
      <c r="AZ156"/>
    </row>
    <row r="157" spans="30:52" ht="11.45" customHeight="1">
      <c r="AD157" s="172"/>
      <c r="AU157"/>
      <c r="AV157"/>
      <c r="AW157"/>
      <c r="AX157"/>
      <c r="AY157"/>
      <c r="AZ157"/>
    </row>
    <row r="158" spans="30:52" ht="11.45" customHeight="1">
      <c r="AD158" s="172"/>
      <c r="AU158"/>
      <c r="AV158"/>
      <c r="AW158"/>
      <c r="AX158"/>
      <c r="AY158"/>
      <c r="AZ158"/>
    </row>
    <row r="159" spans="30:52" ht="11.45" customHeight="1">
      <c r="AD159" s="172"/>
      <c r="AU159"/>
      <c r="AV159"/>
      <c r="AW159"/>
      <c r="AX159"/>
      <c r="AY159"/>
      <c r="AZ159"/>
    </row>
    <row r="160" spans="30:52" ht="11.45" customHeight="1">
      <c r="AD160" s="172"/>
      <c r="AU160"/>
      <c r="AV160"/>
      <c r="AW160"/>
      <c r="AX160"/>
      <c r="AY160"/>
      <c r="AZ160"/>
    </row>
    <row r="161" spans="30:52" ht="11.45" customHeight="1">
      <c r="AD161" s="172"/>
      <c r="AU161"/>
      <c r="AV161"/>
      <c r="AW161"/>
      <c r="AX161"/>
      <c r="AY161"/>
      <c r="AZ161"/>
    </row>
    <row r="162" spans="30:52" ht="11.45" customHeight="1">
      <c r="AD162" s="172"/>
      <c r="AU162"/>
      <c r="AV162"/>
      <c r="AW162"/>
      <c r="AX162"/>
      <c r="AY162"/>
      <c r="AZ162"/>
    </row>
    <row r="163" spans="30:52" ht="11.45" customHeight="1">
      <c r="AD163" s="172"/>
      <c r="AU163"/>
      <c r="AV163"/>
      <c r="AW163"/>
      <c r="AX163"/>
      <c r="AY163"/>
      <c r="AZ163"/>
    </row>
    <row r="164" spans="30:52" ht="11.45" customHeight="1">
      <c r="AD164" s="172"/>
      <c r="AU164"/>
      <c r="AV164"/>
      <c r="AW164"/>
      <c r="AX164"/>
      <c r="AY164"/>
      <c r="AZ164"/>
    </row>
    <row r="165" spans="30:52" ht="11.45" customHeight="1">
      <c r="AD165" s="172"/>
      <c r="AU165"/>
      <c r="AV165"/>
      <c r="AW165"/>
      <c r="AX165"/>
      <c r="AY165"/>
      <c r="AZ165"/>
    </row>
    <row r="166" spans="30:52" ht="11.45" customHeight="1">
      <c r="AD166" s="172"/>
      <c r="AU166"/>
      <c r="AV166"/>
      <c r="AW166"/>
      <c r="AX166"/>
      <c r="AY166"/>
      <c r="AZ166"/>
    </row>
    <row r="167" spans="30:52" ht="11.45" customHeight="1">
      <c r="AD167" s="172"/>
      <c r="AU167"/>
      <c r="AV167"/>
      <c r="AW167"/>
      <c r="AX167"/>
      <c r="AY167"/>
      <c r="AZ167"/>
    </row>
    <row r="168" spans="30:52" ht="11.45" customHeight="1">
      <c r="AD168" s="172"/>
      <c r="AU168"/>
      <c r="AV168"/>
      <c r="AW168"/>
      <c r="AX168"/>
      <c r="AY168"/>
      <c r="AZ168"/>
    </row>
    <row r="169" spans="30:52" ht="11.45" customHeight="1">
      <c r="AD169" s="172"/>
      <c r="AU169"/>
      <c r="AV169"/>
      <c r="AW169"/>
      <c r="AX169"/>
      <c r="AY169"/>
      <c r="AZ169"/>
    </row>
    <row r="170" spans="30:52" ht="11.45" customHeight="1">
      <c r="AD170" s="172"/>
      <c r="AU170"/>
      <c r="AV170"/>
      <c r="AW170"/>
      <c r="AX170"/>
      <c r="AY170"/>
      <c r="AZ170"/>
    </row>
    <row r="171" spans="30:52" ht="11.45" customHeight="1">
      <c r="AD171" s="172"/>
      <c r="AU171"/>
      <c r="AV171"/>
      <c r="AW171"/>
      <c r="AX171"/>
      <c r="AY171"/>
      <c r="AZ171"/>
    </row>
    <row r="172" spans="30:52" ht="11.45" customHeight="1">
      <c r="AD172" s="172"/>
      <c r="AU172"/>
      <c r="AV172"/>
      <c r="AW172"/>
      <c r="AX172"/>
      <c r="AY172"/>
      <c r="AZ172"/>
    </row>
    <row r="173" spans="30:52" ht="11.45" customHeight="1">
      <c r="AD173" s="172"/>
      <c r="AU173"/>
      <c r="AV173"/>
      <c r="AW173"/>
      <c r="AX173"/>
      <c r="AY173"/>
      <c r="AZ173"/>
    </row>
    <row r="174" spans="30:52" ht="11.45" customHeight="1">
      <c r="AD174" s="172"/>
      <c r="AU174"/>
      <c r="AV174"/>
      <c r="AW174"/>
      <c r="AX174"/>
      <c r="AY174"/>
      <c r="AZ174"/>
    </row>
    <row r="175" spans="30:52" ht="11.45" customHeight="1">
      <c r="AD175" s="172"/>
      <c r="AU175"/>
      <c r="AV175"/>
      <c r="AW175"/>
      <c r="AX175"/>
      <c r="AY175"/>
      <c r="AZ175"/>
    </row>
    <row r="176" spans="30:52" ht="11.45" customHeight="1">
      <c r="AD176" s="172"/>
      <c r="AU176"/>
      <c r="AV176"/>
      <c r="AW176"/>
      <c r="AX176"/>
      <c r="AY176"/>
      <c r="AZ176"/>
    </row>
    <row r="177" spans="30:52" ht="11.45" customHeight="1">
      <c r="AD177" s="172"/>
      <c r="AU177"/>
      <c r="AV177"/>
      <c r="AW177"/>
      <c r="AX177"/>
      <c r="AY177"/>
      <c r="AZ177"/>
    </row>
    <row r="178" spans="30:52" ht="11.45" customHeight="1">
      <c r="AD178" s="172"/>
      <c r="AU178"/>
      <c r="AV178"/>
      <c r="AW178"/>
      <c r="AX178"/>
      <c r="AY178"/>
      <c r="AZ178"/>
    </row>
    <row r="179" spans="30:52" ht="11.45" customHeight="1">
      <c r="AD179" s="172"/>
      <c r="AU179"/>
      <c r="AV179"/>
      <c r="AW179"/>
      <c r="AX179"/>
      <c r="AY179"/>
      <c r="AZ179"/>
    </row>
    <row r="180" spans="30:52" ht="11.45" customHeight="1">
      <c r="AD180" s="172"/>
      <c r="AU180"/>
      <c r="AV180"/>
      <c r="AW180"/>
      <c r="AX180"/>
      <c r="AY180"/>
      <c r="AZ180"/>
    </row>
    <row r="181" spans="30:52" ht="11.45" customHeight="1">
      <c r="AD181" s="172"/>
      <c r="AU181"/>
      <c r="AV181"/>
      <c r="AW181"/>
      <c r="AX181"/>
      <c r="AY181"/>
      <c r="AZ181"/>
    </row>
    <row r="182" spans="30:52" ht="11.45" customHeight="1">
      <c r="AD182" s="172"/>
      <c r="AU182"/>
      <c r="AV182"/>
      <c r="AW182"/>
      <c r="AX182"/>
      <c r="AY182"/>
      <c r="AZ182"/>
    </row>
    <row r="183" spans="30:52" ht="11.45" customHeight="1">
      <c r="AD183" s="172"/>
      <c r="AU183"/>
      <c r="AV183"/>
      <c r="AW183"/>
      <c r="AX183"/>
      <c r="AY183"/>
      <c r="AZ183"/>
    </row>
    <row r="184" spans="30:52" ht="11.45" customHeight="1">
      <c r="AD184" s="172"/>
      <c r="AU184"/>
      <c r="AV184"/>
      <c r="AW184"/>
      <c r="AX184"/>
      <c r="AY184"/>
      <c r="AZ184"/>
    </row>
    <row r="185" spans="30:52" ht="11.45" customHeight="1">
      <c r="AD185" s="172"/>
      <c r="AU185"/>
      <c r="AV185"/>
      <c r="AW185"/>
      <c r="AX185"/>
      <c r="AY185"/>
      <c r="AZ185"/>
    </row>
    <row r="186" spans="30:52" ht="11.45" customHeight="1">
      <c r="AD186" s="172"/>
      <c r="AU186"/>
      <c r="AV186"/>
      <c r="AW186"/>
      <c r="AX186"/>
      <c r="AY186"/>
      <c r="AZ186"/>
    </row>
    <row r="187" spans="30:52" ht="11.45" customHeight="1">
      <c r="AD187" s="172"/>
      <c r="AU187"/>
      <c r="AV187"/>
      <c r="AW187"/>
      <c r="AX187"/>
      <c r="AY187"/>
      <c r="AZ187"/>
    </row>
    <row r="188" spans="30:52" ht="11.45" customHeight="1">
      <c r="AD188" s="172"/>
      <c r="AU188"/>
      <c r="AV188"/>
      <c r="AW188"/>
      <c r="AX188"/>
      <c r="AY188"/>
      <c r="AZ188"/>
    </row>
    <row r="189" spans="30:52" ht="11.45" customHeight="1">
      <c r="AD189" s="172"/>
      <c r="AU189"/>
      <c r="AV189"/>
      <c r="AW189"/>
      <c r="AX189"/>
      <c r="AY189"/>
      <c r="AZ189"/>
    </row>
    <row r="190" spans="30:52" ht="11.45" customHeight="1">
      <c r="AD190" s="172"/>
      <c r="AU190"/>
      <c r="AV190"/>
      <c r="AW190"/>
      <c r="AX190"/>
      <c r="AY190"/>
      <c r="AZ190"/>
    </row>
    <row r="191" spans="30:52" ht="11.45" customHeight="1">
      <c r="AD191" s="172"/>
      <c r="AU191"/>
      <c r="AV191"/>
      <c r="AW191"/>
      <c r="AX191"/>
      <c r="AY191"/>
      <c r="AZ191"/>
    </row>
    <row r="192" spans="30:52" ht="11.45" customHeight="1">
      <c r="AD192" s="172"/>
      <c r="AU192"/>
      <c r="AV192"/>
      <c r="AW192"/>
      <c r="AX192"/>
      <c r="AY192"/>
      <c r="AZ192"/>
    </row>
    <row r="193" spans="30:52" ht="11.45" customHeight="1">
      <c r="AD193" s="172"/>
      <c r="AU193"/>
      <c r="AV193"/>
      <c r="AW193"/>
      <c r="AX193"/>
      <c r="AY193"/>
      <c r="AZ193"/>
    </row>
    <row r="194" spans="30:52" ht="11.45" customHeight="1">
      <c r="AD194" s="172"/>
      <c r="AU194"/>
      <c r="AV194"/>
      <c r="AW194"/>
      <c r="AX194"/>
      <c r="AY194"/>
      <c r="AZ194"/>
    </row>
    <row r="195" spans="30:52" ht="11.45" customHeight="1">
      <c r="AD195" s="172"/>
      <c r="AU195"/>
      <c r="AV195"/>
      <c r="AW195"/>
      <c r="AX195"/>
      <c r="AY195"/>
      <c r="AZ195"/>
    </row>
    <row r="196" spans="30:52" ht="11.45" customHeight="1">
      <c r="AD196" s="172"/>
      <c r="AU196"/>
      <c r="AV196"/>
      <c r="AW196"/>
      <c r="AX196"/>
      <c r="AY196"/>
      <c r="AZ196"/>
    </row>
    <row r="197" spans="30:52" ht="11.45" customHeight="1">
      <c r="AD197" s="172"/>
      <c r="AU197"/>
      <c r="AV197"/>
      <c r="AW197"/>
      <c r="AX197"/>
      <c r="AY197"/>
      <c r="AZ197"/>
    </row>
    <row r="198" spans="30:52" ht="11.45" customHeight="1">
      <c r="AD198" s="172"/>
      <c r="AU198"/>
      <c r="AV198"/>
      <c r="AW198"/>
      <c r="AX198"/>
      <c r="AY198"/>
      <c r="AZ198"/>
    </row>
    <row r="199" spans="30:52" ht="11.45" customHeight="1">
      <c r="AD199" s="172"/>
      <c r="AU199"/>
      <c r="AV199"/>
      <c r="AW199"/>
      <c r="AX199"/>
      <c r="AY199"/>
      <c r="AZ199"/>
    </row>
    <row r="200" spans="30:52" ht="11.45" customHeight="1">
      <c r="AD200" s="172"/>
      <c r="AU200"/>
      <c r="AV200"/>
      <c r="AW200"/>
      <c r="AX200"/>
      <c r="AY200"/>
      <c r="AZ200"/>
    </row>
    <row r="201" spans="30:52" ht="11.45" customHeight="1">
      <c r="AU201"/>
      <c r="AV201"/>
      <c r="AW201"/>
      <c r="AX201"/>
      <c r="AY201"/>
      <c r="AZ201"/>
    </row>
    <row r="202" spans="30:52" ht="11.45" customHeight="1">
      <c r="AU202"/>
      <c r="AV202"/>
      <c r="AW202"/>
      <c r="AX202"/>
      <c r="AY202"/>
      <c r="AZ202"/>
    </row>
    <row r="203" spans="30:52" ht="11.45" customHeight="1">
      <c r="AU203"/>
      <c r="AV203"/>
      <c r="AW203"/>
      <c r="AX203"/>
      <c r="AY203"/>
      <c r="AZ203"/>
    </row>
    <row r="204" spans="30:52" ht="11.45" customHeight="1">
      <c r="AU204"/>
      <c r="AV204"/>
      <c r="AW204"/>
      <c r="AX204"/>
      <c r="AY204"/>
      <c r="AZ204"/>
    </row>
    <row r="205" spans="30:52" ht="11.45" customHeight="1">
      <c r="AU205"/>
      <c r="AV205"/>
      <c r="AW205"/>
      <c r="AX205"/>
      <c r="AY205"/>
      <c r="AZ205"/>
    </row>
    <row r="206" spans="30:52" ht="11.45" customHeight="1">
      <c r="AU206"/>
      <c r="AV206"/>
      <c r="AW206"/>
      <c r="AX206"/>
      <c r="AY206"/>
      <c r="AZ206"/>
    </row>
    <row r="207" spans="30:52" ht="11.45" customHeight="1">
      <c r="AU207"/>
      <c r="AV207"/>
      <c r="AW207"/>
      <c r="AX207"/>
      <c r="AY207"/>
      <c r="AZ207"/>
    </row>
    <row r="208" spans="30:52" ht="11.45" customHeight="1">
      <c r="AU208"/>
      <c r="AV208"/>
      <c r="AW208"/>
      <c r="AX208"/>
      <c r="AY208"/>
      <c r="AZ208"/>
    </row>
    <row r="209" spans="47:52" ht="11.45" customHeight="1">
      <c r="AU209"/>
      <c r="AV209"/>
      <c r="AW209"/>
      <c r="AX209"/>
      <c r="AY209"/>
      <c r="AZ209"/>
    </row>
    <row r="210" spans="47:52" ht="11.45" customHeight="1">
      <c r="AU210"/>
      <c r="AV210"/>
      <c r="AW210"/>
      <c r="AX210"/>
      <c r="AY210"/>
      <c r="AZ210"/>
    </row>
    <row r="211" spans="47:52" ht="11.45" customHeight="1">
      <c r="AU211"/>
      <c r="AV211"/>
      <c r="AW211"/>
      <c r="AX211"/>
      <c r="AY211"/>
      <c r="AZ211"/>
    </row>
    <row r="212" spans="47:52" ht="11.45" customHeight="1">
      <c r="AU212"/>
      <c r="AV212"/>
      <c r="AW212"/>
      <c r="AX212"/>
      <c r="AY212"/>
      <c r="AZ212"/>
    </row>
    <row r="213" spans="47:52" ht="11.45" customHeight="1">
      <c r="AU213"/>
      <c r="AV213"/>
      <c r="AW213"/>
      <c r="AX213"/>
      <c r="AY213"/>
      <c r="AZ213"/>
    </row>
    <row r="214" spans="47:52" ht="11.45" customHeight="1">
      <c r="AU214"/>
      <c r="AV214"/>
      <c r="AW214"/>
      <c r="AX214"/>
      <c r="AY214"/>
      <c r="AZ214"/>
    </row>
    <row r="215" spans="47:52" ht="11.45" customHeight="1">
      <c r="AU215"/>
      <c r="AV215"/>
      <c r="AW215"/>
      <c r="AX215"/>
      <c r="AY215"/>
      <c r="AZ215"/>
    </row>
    <row r="216" spans="47:52" ht="11.45" customHeight="1">
      <c r="AU216"/>
      <c r="AV216"/>
      <c r="AW216"/>
      <c r="AX216"/>
      <c r="AY216"/>
      <c r="AZ216"/>
    </row>
    <row r="217" spans="47:52" ht="11.45" customHeight="1">
      <c r="AU217"/>
      <c r="AV217"/>
      <c r="AW217"/>
      <c r="AX217"/>
      <c r="AY217"/>
      <c r="AZ217"/>
    </row>
    <row r="218" spans="47:52" ht="11.45" customHeight="1">
      <c r="AU218"/>
      <c r="AV218"/>
      <c r="AW218"/>
      <c r="AX218"/>
      <c r="AY218"/>
      <c r="AZ218"/>
    </row>
    <row r="219" spans="47:52" ht="11.45" customHeight="1">
      <c r="AU219"/>
      <c r="AV219"/>
      <c r="AW219"/>
      <c r="AX219"/>
      <c r="AY219"/>
      <c r="AZ219"/>
    </row>
    <row r="220" spans="47:52" ht="11.45" customHeight="1">
      <c r="AU220"/>
      <c r="AV220"/>
      <c r="AW220"/>
      <c r="AX220"/>
      <c r="AY220"/>
      <c r="AZ220"/>
    </row>
    <row r="221" spans="47:52" ht="11.45" customHeight="1">
      <c r="AU221"/>
      <c r="AV221"/>
      <c r="AW221"/>
      <c r="AX221"/>
      <c r="AY221"/>
      <c r="AZ221"/>
    </row>
    <row r="222" spans="47:52" ht="11.45" customHeight="1">
      <c r="AU222"/>
      <c r="AV222"/>
      <c r="AW222"/>
      <c r="AX222"/>
      <c r="AY222"/>
      <c r="AZ222"/>
    </row>
    <row r="223" spans="47:52" ht="11.45" customHeight="1">
      <c r="AU223"/>
      <c r="AV223"/>
      <c r="AW223"/>
      <c r="AX223"/>
      <c r="AY223"/>
      <c r="AZ223"/>
    </row>
    <row r="224" spans="47:52" ht="11.45" customHeight="1">
      <c r="AU224"/>
      <c r="AV224"/>
      <c r="AW224"/>
      <c r="AX224"/>
      <c r="AY224"/>
      <c r="AZ224"/>
    </row>
    <row r="225" spans="47:52" ht="11.45" customHeight="1">
      <c r="AU225"/>
      <c r="AV225"/>
      <c r="AW225"/>
      <c r="AX225"/>
      <c r="AY225"/>
      <c r="AZ225"/>
    </row>
    <row r="226" spans="47:52" ht="11.45" customHeight="1">
      <c r="AU226"/>
      <c r="AV226"/>
      <c r="AW226"/>
      <c r="AX226"/>
      <c r="AY226"/>
      <c r="AZ226"/>
    </row>
    <row r="227" spans="47:52" ht="11.45" customHeight="1">
      <c r="AU227"/>
      <c r="AV227"/>
      <c r="AW227"/>
      <c r="AX227"/>
      <c r="AY227"/>
      <c r="AZ227"/>
    </row>
    <row r="228" spans="47:52" ht="11.45" customHeight="1">
      <c r="AU228"/>
      <c r="AV228"/>
      <c r="AW228"/>
      <c r="AX228"/>
      <c r="AY228"/>
      <c r="AZ228"/>
    </row>
    <row r="229" spans="47:52" ht="11.45" customHeight="1">
      <c r="AU229"/>
      <c r="AV229"/>
      <c r="AW229"/>
      <c r="AX229"/>
      <c r="AY229"/>
      <c r="AZ229"/>
    </row>
    <row r="230" spans="47:52" ht="11.45" customHeight="1">
      <c r="AU230"/>
      <c r="AV230"/>
      <c r="AW230"/>
      <c r="AX230"/>
      <c r="AY230"/>
      <c r="AZ230"/>
    </row>
    <row r="231" spans="47:52" ht="11.45" customHeight="1">
      <c r="AU231"/>
      <c r="AV231"/>
      <c r="AW231"/>
      <c r="AX231"/>
      <c r="AY231"/>
      <c r="AZ231"/>
    </row>
    <row r="232" spans="47:52" ht="11.45" customHeight="1">
      <c r="AU232"/>
      <c r="AV232"/>
      <c r="AW232"/>
      <c r="AX232"/>
      <c r="AY232"/>
      <c r="AZ232"/>
    </row>
    <row r="233" spans="47:52" ht="11.45" customHeight="1">
      <c r="AU233"/>
      <c r="AV233"/>
      <c r="AW233"/>
      <c r="AX233"/>
      <c r="AY233"/>
      <c r="AZ233"/>
    </row>
    <row r="234" spans="47:52" ht="11.45" customHeight="1">
      <c r="AU234"/>
      <c r="AV234"/>
      <c r="AW234"/>
      <c r="AX234"/>
      <c r="AY234"/>
      <c r="AZ234"/>
    </row>
    <row r="235" spans="47:52" ht="11.45" customHeight="1">
      <c r="AU235"/>
      <c r="AV235"/>
      <c r="AW235"/>
      <c r="AX235"/>
      <c r="AY235"/>
      <c r="AZ235"/>
    </row>
    <row r="236" spans="47:52" ht="11.45" customHeight="1">
      <c r="AU236"/>
      <c r="AV236"/>
      <c r="AW236"/>
      <c r="AX236"/>
      <c r="AY236"/>
      <c r="AZ236"/>
    </row>
    <row r="237" spans="47:52" ht="11.45" customHeight="1">
      <c r="AU237"/>
      <c r="AV237"/>
      <c r="AW237"/>
      <c r="AX237"/>
      <c r="AY237"/>
      <c r="AZ237"/>
    </row>
    <row r="238" spans="47:52" ht="11.45" customHeight="1">
      <c r="AU238"/>
      <c r="AV238"/>
      <c r="AW238"/>
      <c r="AX238"/>
      <c r="AY238"/>
      <c r="AZ238"/>
    </row>
    <row r="239" spans="47:52" ht="11.45" customHeight="1">
      <c r="AU239"/>
      <c r="AV239"/>
      <c r="AW239"/>
      <c r="AX239"/>
      <c r="AY239"/>
      <c r="AZ239"/>
    </row>
    <row r="240" spans="47:52" ht="11.45" customHeight="1">
      <c r="AU240"/>
      <c r="AV240"/>
      <c r="AW240"/>
      <c r="AX240"/>
      <c r="AY240"/>
      <c r="AZ240"/>
    </row>
    <row r="241" spans="47:52" ht="11.45" customHeight="1">
      <c r="AU241"/>
      <c r="AV241"/>
      <c r="AW241"/>
      <c r="AX241"/>
      <c r="AY241"/>
      <c r="AZ241"/>
    </row>
    <row r="242" spans="47:52" ht="11.45" customHeight="1">
      <c r="AU242"/>
      <c r="AV242"/>
      <c r="AW242"/>
      <c r="AX242"/>
      <c r="AY242"/>
      <c r="AZ242"/>
    </row>
    <row r="243" spans="47:52" ht="11.45" customHeight="1">
      <c r="AU243"/>
      <c r="AV243"/>
      <c r="AW243"/>
      <c r="AX243"/>
      <c r="AY243"/>
      <c r="AZ243"/>
    </row>
    <row r="244" spans="47:52" ht="11.45" customHeight="1">
      <c r="AU244"/>
      <c r="AV244"/>
      <c r="AW244"/>
      <c r="AX244"/>
      <c r="AY244"/>
      <c r="AZ244"/>
    </row>
    <row r="245" spans="47:52" ht="11.45" customHeight="1">
      <c r="AU245"/>
      <c r="AV245"/>
      <c r="AW245"/>
      <c r="AX245"/>
      <c r="AY245"/>
      <c r="AZ245"/>
    </row>
    <row r="246" spans="47:52" ht="11.45" customHeight="1">
      <c r="AU246"/>
      <c r="AV246"/>
      <c r="AW246"/>
      <c r="AX246"/>
      <c r="AY246"/>
      <c r="AZ246"/>
    </row>
    <row r="247" spans="47:52" ht="11.45" customHeight="1">
      <c r="AU247"/>
      <c r="AV247"/>
      <c r="AW247"/>
      <c r="AX247"/>
      <c r="AY247"/>
      <c r="AZ247"/>
    </row>
    <row r="248" spans="47:52" ht="11.45" customHeight="1">
      <c r="AU248"/>
      <c r="AV248"/>
      <c r="AW248"/>
      <c r="AX248"/>
      <c r="AY248"/>
      <c r="AZ248"/>
    </row>
    <row r="249" spans="47:52" ht="11.45" customHeight="1">
      <c r="AU249"/>
      <c r="AV249"/>
      <c r="AW249"/>
      <c r="AX249"/>
      <c r="AY249"/>
      <c r="AZ249"/>
    </row>
    <row r="250" spans="47:52" ht="11.45" customHeight="1">
      <c r="AU250"/>
      <c r="AV250"/>
      <c r="AW250"/>
      <c r="AX250"/>
      <c r="AY250"/>
      <c r="AZ250"/>
    </row>
    <row r="251" spans="47:52" ht="11.45" customHeight="1">
      <c r="AU251"/>
      <c r="AV251"/>
      <c r="AW251"/>
      <c r="AX251"/>
      <c r="AY251"/>
      <c r="AZ251"/>
    </row>
    <row r="252" spans="47:52" ht="11.45" customHeight="1">
      <c r="AU252"/>
      <c r="AV252"/>
      <c r="AW252"/>
      <c r="AX252"/>
      <c r="AY252"/>
      <c r="AZ252"/>
    </row>
    <row r="253" spans="47:52" ht="11.45" customHeight="1">
      <c r="AU253"/>
      <c r="AV253"/>
      <c r="AW253"/>
      <c r="AX253"/>
      <c r="AY253"/>
      <c r="AZ253"/>
    </row>
    <row r="254" spans="47:52" ht="11.45" customHeight="1">
      <c r="AU254"/>
      <c r="AV254"/>
      <c r="AW254"/>
      <c r="AX254"/>
      <c r="AY254"/>
      <c r="AZ254"/>
    </row>
    <row r="255" spans="47:52" ht="11.45" customHeight="1">
      <c r="AU255"/>
      <c r="AV255"/>
      <c r="AW255"/>
      <c r="AX255"/>
      <c r="AY255"/>
      <c r="AZ255"/>
    </row>
    <row r="256" spans="47:52" ht="11.45" customHeight="1">
      <c r="AU256"/>
      <c r="AV256"/>
      <c r="AW256"/>
      <c r="AX256"/>
      <c r="AY256"/>
      <c r="AZ256"/>
    </row>
    <row r="257" spans="47:52" ht="11.45" customHeight="1">
      <c r="AU257"/>
      <c r="AV257"/>
      <c r="AW257"/>
      <c r="AX257"/>
      <c r="AY257"/>
      <c r="AZ257"/>
    </row>
    <row r="258" spans="47:52" ht="11.45" customHeight="1">
      <c r="AU258"/>
      <c r="AV258"/>
      <c r="AW258"/>
      <c r="AX258"/>
      <c r="AY258"/>
      <c r="AZ258"/>
    </row>
    <row r="259" spans="47:52" ht="11.45" customHeight="1">
      <c r="AU259"/>
      <c r="AV259"/>
      <c r="AW259"/>
      <c r="AX259"/>
      <c r="AY259"/>
      <c r="AZ259"/>
    </row>
    <row r="260" spans="47:52" ht="11.45" customHeight="1">
      <c r="AU260"/>
      <c r="AV260"/>
      <c r="AW260"/>
      <c r="AX260"/>
      <c r="AY260"/>
      <c r="AZ260"/>
    </row>
    <row r="261" spans="47:52" ht="11.45" customHeight="1">
      <c r="AU261"/>
      <c r="AV261"/>
      <c r="AW261"/>
      <c r="AX261"/>
      <c r="AY261"/>
      <c r="AZ261"/>
    </row>
    <row r="262" spans="47:52" ht="11.45" customHeight="1">
      <c r="AU262"/>
      <c r="AV262"/>
      <c r="AW262"/>
      <c r="AX262"/>
      <c r="AY262"/>
      <c r="AZ262"/>
    </row>
    <row r="263" spans="47:52" ht="11.45" customHeight="1">
      <c r="AU263"/>
      <c r="AV263"/>
      <c r="AW263"/>
      <c r="AX263"/>
      <c r="AY263"/>
      <c r="AZ263"/>
    </row>
    <row r="264" spans="47:52" ht="11.45" customHeight="1">
      <c r="AU264"/>
      <c r="AV264"/>
      <c r="AW264"/>
      <c r="AX264"/>
      <c r="AY264"/>
      <c r="AZ264"/>
    </row>
    <row r="265" spans="47:52" ht="11.45" customHeight="1">
      <c r="AU265"/>
      <c r="AV265"/>
      <c r="AW265"/>
      <c r="AX265"/>
      <c r="AY265"/>
      <c r="AZ265"/>
    </row>
    <row r="266" spans="47:52" ht="11.45" customHeight="1">
      <c r="AU266"/>
      <c r="AV266"/>
      <c r="AW266"/>
      <c r="AX266"/>
      <c r="AY266"/>
      <c r="AZ266"/>
    </row>
    <row r="267" spans="47:52" ht="11.45" customHeight="1">
      <c r="AU267"/>
      <c r="AV267"/>
      <c r="AW267"/>
      <c r="AX267"/>
      <c r="AY267"/>
      <c r="AZ267"/>
    </row>
    <row r="268" spans="47:52" ht="11.45" customHeight="1">
      <c r="AU268"/>
      <c r="AV268"/>
      <c r="AW268"/>
      <c r="AX268"/>
      <c r="AY268"/>
      <c r="AZ268"/>
    </row>
    <row r="269" spans="47:52" ht="11.45" customHeight="1">
      <c r="AU269"/>
      <c r="AV269"/>
      <c r="AW269"/>
      <c r="AX269"/>
      <c r="AY269"/>
      <c r="AZ269"/>
    </row>
    <row r="270" spans="47:52" ht="11.45" customHeight="1">
      <c r="AU270"/>
      <c r="AV270"/>
      <c r="AW270"/>
      <c r="AX270"/>
      <c r="AY270"/>
      <c r="AZ270"/>
    </row>
    <row r="271" spans="47:52" ht="11.45" customHeight="1">
      <c r="AU271"/>
      <c r="AV271"/>
      <c r="AW271"/>
      <c r="AX271"/>
      <c r="AY271"/>
      <c r="AZ271"/>
    </row>
    <row r="272" spans="47:52" ht="11.45" customHeight="1">
      <c r="AU272"/>
      <c r="AV272"/>
      <c r="AW272"/>
      <c r="AX272"/>
      <c r="AY272"/>
      <c r="AZ272"/>
    </row>
    <row r="273" spans="47:52" ht="11.45" customHeight="1">
      <c r="AU273"/>
      <c r="AV273"/>
      <c r="AW273"/>
      <c r="AX273"/>
      <c r="AY273"/>
      <c r="AZ273"/>
    </row>
    <row r="274" spans="47:52" ht="11.45" customHeight="1">
      <c r="AU274"/>
      <c r="AV274"/>
      <c r="AW274"/>
      <c r="AX274"/>
      <c r="AY274"/>
      <c r="AZ274"/>
    </row>
    <row r="275" spans="47:52" ht="11.45" customHeight="1">
      <c r="AU275"/>
      <c r="AV275"/>
      <c r="AW275"/>
      <c r="AX275"/>
      <c r="AY275"/>
      <c r="AZ275"/>
    </row>
    <row r="276" spans="47:52" ht="11.45" customHeight="1">
      <c r="AU276"/>
      <c r="AV276"/>
      <c r="AW276"/>
      <c r="AX276"/>
      <c r="AY276"/>
      <c r="AZ276"/>
    </row>
    <row r="277" spans="47:52" ht="11.45" customHeight="1">
      <c r="AU277"/>
      <c r="AV277"/>
      <c r="AW277"/>
      <c r="AX277"/>
      <c r="AY277"/>
      <c r="AZ277"/>
    </row>
    <row r="278" spans="47:52" ht="11.45" customHeight="1">
      <c r="AU278"/>
      <c r="AV278"/>
      <c r="AW278"/>
      <c r="AX278"/>
      <c r="AY278"/>
      <c r="AZ278"/>
    </row>
    <row r="279" spans="47:52" ht="11.45" customHeight="1">
      <c r="AU279"/>
      <c r="AV279"/>
      <c r="AW279"/>
      <c r="AX279"/>
      <c r="AY279"/>
      <c r="AZ279"/>
    </row>
    <row r="280" spans="47:52" ht="11.45" customHeight="1">
      <c r="AU280"/>
      <c r="AV280"/>
      <c r="AW280"/>
      <c r="AX280"/>
      <c r="AY280"/>
      <c r="AZ280"/>
    </row>
    <row r="281" spans="47:52" ht="11.45" customHeight="1">
      <c r="AU281"/>
      <c r="AV281"/>
      <c r="AW281"/>
      <c r="AX281"/>
      <c r="AY281"/>
      <c r="AZ281"/>
    </row>
    <row r="282" spans="47:52" ht="11.45" customHeight="1">
      <c r="AU282"/>
      <c r="AV282"/>
      <c r="AW282"/>
      <c r="AX282"/>
      <c r="AY282"/>
      <c r="AZ282"/>
    </row>
    <row r="283" spans="47:52" ht="11.45" customHeight="1">
      <c r="AU283"/>
      <c r="AV283"/>
      <c r="AW283"/>
      <c r="AX283"/>
      <c r="AY283"/>
      <c r="AZ283"/>
    </row>
    <row r="284" spans="47:52" ht="11.45" customHeight="1">
      <c r="AU284"/>
      <c r="AV284"/>
      <c r="AW284"/>
      <c r="AX284"/>
      <c r="AY284"/>
      <c r="AZ284"/>
    </row>
    <row r="285" spans="47:52" ht="11.45" customHeight="1">
      <c r="AU285"/>
      <c r="AV285"/>
      <c r="AW285"/>
      <c r="AX285"/>
      <c r="AY285"/>
      <c r="AZ285"/>
    </row>
    <row r="286" spans="47:52" ht="11.45" customHeight="1">
      <c r="AU286"/>
      <c r="AV286"/>
      <c r="AW286"/>
      <c r="AX286"/>
      <c r="AY286"/>
      <c r="AZ286"/>
    </row>
    <row r="287" spans="47:52" ht="11.45" customHeight="1">
      <c r="AU287"/>
      <c r="AV287"/>
      <c r="AW287"/>
      <c r="AX287"/>
      <c r="AY287"/>
      <c r="AZ287"/>
    </row>
    <row r="288" spans="47:52" ht="11.45" customHeight="1">
      <c r="AU288"/>
      <c r="AV288"/>
      <c r="AW288"/>
      <c r="AX288"/>
      <c r="AY288"/>
      <c r="AZ288"/>
    </row>
    <row r="289" spans="47:52" ht="11.45" customHeight="1">
      <c r="AU289"/>
      <c r="AV289"/>
      <c r="AW289"/>
      <c r="AX289"/>
      <c r="AY289"/>
      <c r="AZ289"/>
    </row>
    <row r="290" spans="47:52" ht="11.45" customHeight="1">
      <c r="AU290"/>
      <c r="AV290"/>
      <c r="AW290"/>
      <c r="AX290"/>
      <c r="AY290"/>
      <c r="AZ290"/>
    </row>
    <row r="291" spans="47:52" ht="11.45" customHeight="1">
      <c r="AU291"/>
      <c r="AV291"/>
      <c r="AW291"/>
      <c r="AX291"/>
      <c r="AY291"/>
      <c r="AZ291"/>
    </row>
    <row r="292" spans="47:52" ht="11.45" customHeight="1">
      <c r="AU292"/>
      <c r="AV292"/>
      <c r="AW292"/>
      <c r="AX292"/>
      <c r="AY292"/>
      <c r="AZ292"/>
    </row>
    <row r="293" spans="47:52" ht="11.45" customHeight="1">
      <c r="AU293"/>
      <c r="AV293"/>
      <c r="AW293"/>
      <c r="AX293"/>
      <c r="AY293"/>
      <c r="AZ293"/>
    </row>
    <row r="294" spans="47:52" ht="11.45" customHeight="1">
      <c r="AU294"/>
      <c r="AV294"/>
      <c r="AW294"/>
      <c r="AX294"/>
      <c r="AY294"/>
      <c r="AZ294"/>
    </row>
    <row r="295" spans="47:52" ht="11.45" customHeight="1">
      <c r="AU295"/>
      <c r="AV295"/>
      <c r="AW295"/>
      <c r="AX295"/>
      <c r="AY295"/>
      <c r="AZ295"/>
    </row>
    <row r="296" spans="47:52" ht="11.45" customHeight="1">
      <c r="AU296"/>
      <c r="AV296"/>
      <c r="AW296"/>
      <c r="AX296"/>
      <c r="AY296"/>
      <c r="AZ296"/>
    </row>
    <row r="297" spans="47:52" ht="11.45" customHeight="1">
      <c r="AU297"/>
      <c r="AV297"/>
      <c r="AW297"/>
      <c r="AX297"/>
      <c r="AY297"/>
      <c r="AZ297"/>
    </row>
    <row r="298" spans="47:52" ht="11.45" customHeight="1">
      <c r="AU298"/>
      <c r="AV298"/>
      <c r="AW298"/>
      <c r="AX298"/>
      <c r="AY298"/>
      <c r="AZ298"/>
    </row>
    <row r="299" spans="47:52" ht="11.45" customHeight="1">
      <c r="AU299"/>
      <c r="AV299"/>
      <c r="AW299"/>
      <c r="AX299"/>
      <c r="AY299"/>
      <c r="AZ299"/>
    </row>
    <row r="300" spans="47:52" ht="11.45" customHeight="1">
      <c r="AU300"/>
      <c r="AV300"/>
      <c r="AW300"/>
      <c r="AX300"/>
      <c r="AY300"/>
      <c r="AZ300"/>
    </row>
    <row r="301" spans="47:52" ht="11.45" customHeight="1">
      <c r="AU301"/>
      <c r="AV301"/>
      <c r="AW301"/>
      <c r="AX301"/>
      <c r="AY301"/>
      <c r="AZ301"/>
    </row>
    <row r="302" spans="47:52" ht="11.45" customHeight="1">
      <c r="AU302"/>
      <c r="AV302"/>
      <c r="AW302"/>
      <c r="AX302"/>
      <c r="AY302"/>
      <c r="AZ302"/>
    </row>
    <row r="303" spans="47:52" ht="11.45" customHeight="1">
      <c r="AU303"/>
      <c r="AV303"/>
      <c r="AW303"/>
      <c r="AX303"/>
      <c r="AY303"/>
      <c r="AZ303"/>
    </row>
    <row r="304" spans="47:52" ht="11.45" customHeight="1">
      <c r="AU304"/>
      <c r="AV304"/>
      <c r="AW304"/>
      <c r="AX304"/>
      <c r="AY304"/>
      <c r="AZ304"/>
    </row>
    <row r="305" spans="47:52" ht="11.45" customHeight="1">
      <c r="AU305"/>
      <c r="AV305"/>
      <c r="AW305"/>
      <c r="AX305"/>
      <c r="AY305"/>
      <c r="AZ305"/>
    </row>
    <row r="306" spans="47:52" ht="11.45" customHeight="1">
      <c r="AU306"/>
      <c r="AV306"/>
      <c r="AW306"/>
      <c r="AX306"/>
      <c r="AY306"/>
      <c r="AZ306"/>
    </row>
    <row r="307" spans="47:52" ht="11.45" customHeight="1">
      <c r="AU307"/>
      <c r="AV307"/>
      <c r="AW307"/>
      <c r="AX307"/>
      <c r="AY307"/>
      <c r="AZ307"/>
    </row>
    <row r="308" spans="47:52" ht="11.45" customHeight="1">
      <c r="AU308"/>
      <c r="AV308"/>
      <c r="AW308"/>
      <c r="AX308"/>
      <c r="AY308"/>
      <c r="AZ308"/>
    </row>
    <row r="309" spans="47:52" ht="11.45" customHeight="1">
      <c r="AU309"/>
      <c r="AV309"/>
      <c r="AW309"/>
      <c r="AX309"/>
      <c r="AY309"/>
      <c r="AZ309"/>
    </row>
    <row r="310" spans="47:52" ht="11.45" customHeight="1">
      <c r="AU310"/>
      <c r="AV310"/>
      <c r="AW310"/>
      <c r="AX310"/>
      <c r="AY310"/>
      <c r="AZ310"/>
    </row>
    <row r="311" spans="47:52" ht="11.45" customHeight="1">
      <c r="AU311"/>
      <c r="AV311"/>
      <c r="AW311"/>
      <c r="AX311"/>
      <c r="AY311"/>
      <c r="AZ311"/>
    </row>
    <row r="312" spans="47:52" ht="11.45" customHeight="1">
      <c r="AU312"/>
      <c r="AV312"/>
      <c r="AW312"/>
      <c r="AX312"/>
      <c r="AY312"/>
      <c r="AZ312"/>
    </row>
    <row r="313" spans="47:52" ht="11.45" customHeight="1">
      <c r="AU313"/>
      <c r="AV313"/>
      <c r="AW313"/>
      <c r="AX313"/>
      <c r="AY313"/>
      <c r="AZ313"/>
    </row>
    <row r="314" spans="47:52" ht="11.45" customHeight="1">
      <c r="AU314"/>
      <c r="AV314"/>
      <c r="AW314"/>
      <c r="AX314"/>
      <c r="AY314"/>
      <c r="AZ314"/>
    </row>
    <row r="315" spans="47:52" ht="11.45" customHeight="1">
      <c r="AU315"/>
      <c r="AV315"/>
      <c r="AW315"/>
      <c r="AX315"/>
      <c r="AY315"/>
      <c r="AZ315"/>
    </row>
    <row r="316" spans="47:52" ht="11.45" customHeight="1">
      <c r="AU316"/>
      <c r="AV316"/>
      <c r="AW316"/>
      <c r="AX316"/>
      <c r="AY316"/>
      <c r="AZ316"/>
    </row>
    <row r="317" spans="47:52" ht="11.45" customHeight="1">
      <c r="AU317"/>
      <c r="AV317"/>
      <c r="AW317"/>
      <c r="AX317"/>
      <c r="AY317"/>
      <c r="AZ317"/>
    </row>
    <row r="318" spans="47:52" ht="11.45" customHeight="1">
      <c r="AU318"/>
      <c r="AV318"/>
      <c r="AW318"/>
      <c r="AX318"/>
      <c r="AY318"/>
      <c r="AZ318"/>
    </row>
    <row r="319" spans="47:52" ht="11.45" customHeight="1">
      <c r="AU319"/>
      <c r="AV319"/>
      <c r="AW319"/>
      <c r="AX319"/>
      <c r="AY319"/>
      <c r="AZ319"/>
    </row>
    <row r="320" spans="47:52" ht="11.45" customHeight="1">
      <c r="AU320"/>
      <c r="AV320"/>
      <c r="AW320"/>
      <c r="AX320"/>
      <c r="AY320"/>
      <c r="AZ320"/>
    </row>
    <row r="321" spans="47:52" ht="11.45" customHeight="1">
      <c r="AU321"/>
      <c r="AV321"/>
      <c r="AW321"/>
      <c r="AX321"/>
      <c r="AY321"/>
      <c r="AZ321"/>
    </row>
    <row r="322" spans="47:52" ht="11.45" customHeight="1">
      <c r="AU322"/>
      <c r="AV322"/>
      <c r="AW322"/>
      <c r="AX322"/>
      <c r="AY322"/>
      <c r="AZ322"/>
    </row>
    <row r="323" spans="47:52" ht="11.45" customHeight="1">
      <c r="AU323"/>
      <c r="AV323"/>
      <c r="AW323"/>
      <c r="AX323"/>
      <c r="AY323"/>
      <c r="AZ323"/>
    </row>
    <row r="324" spans="47:52" ht="11.45" customHeight="1">
      <c r="AU324"/>
      <c r="AV324"/>
      <c r="AW324"/>
      <c r="AX324"/>
      <c r="AY324"/>
      <c r="AZ324"/>
    </row>
    <row r="325" spans="47:52" ht="11.45" customHeight="1">
      <c r="AU325"/>
      <c r="AV325"/>
      <c r="AW325"/>
      <c r="AX325"/>
      <c r="AY325"/>
      <c r="AZ325"/>
    </row>
    <row r="326" spans="47:52" ht="11.45" customHeight="1">
      <c r="AU326"/>
      <c r="AV326"/>
      <c r="AW326"/>
      <c r="AX326"/>
      <c r="AY326"/>
      <c r="AZ326"/>
    </row>
    <row r="327" spans="47:52" ht="11.45" customHeight="1">
      <c r="AU327"/>
      <c r="AV327"/>
      <c r="AW327"/>
      <c r="AX327"/>
      <c r="AY327"/>
      <c r="AZ327"/>
    </row>
    <row r="328" spans="47:52" ht="11.45" customHeight="1">
      <c r="AU328"/>
      <c r="AV328"/>
      <c r="AW328"/>
      <c r="AX328"/>
      <c r="AY328"/>
      <c r="AZ328"/>
    </row>
    <row r="329" spans="47:52" ht="11.45" customHeight="1">
      <c r="AU329"/>
      <c r="AV329"/>
      <c r="AW329"/>
      <c r="AX329"/>
      <c r="AY329"/>
      <c r="AZ329"/>
    </row>
    <row r="330" spans="47:52" ht="11.45" customHeight="1">
      <c r="AU330"/>
      <c r="AV330"/>
      <c r="AW330"/>
      <c r="AX330"/>
      <c r="AY330"/>
      <c r="AZ330"/>
    </row>
    <row r="331" spans="47:52" ht="11.45" customHeight="1">
      <c r="AU331"/>
      <c r="AV331"/>
      <c r="AW331"/>
      <c r="AX331"/>
      <c r="AY331"/>
      <c r="AZ331"/>
    </row>
    <row r="332" spans="47:52" ht="11.45" customHeight="1">
      <c r="AU332"/>
      <c r="AV332"/>
      <c r="AW332"/>
      <c r="AX332"/>
      <c r="AY332"/>
      <c r="AZ332"/>
    </row>
    <row r="333" spans="47:52" ht="11.45" customHeight="1">
      <c r="AU333"/>
      <c r="AV333"/>
      <c r="AW333"/>
      <c r="AX333"/>
      <c r="AY333"/>
      <c r="AZ333"/>
    </row>
    <row r="334" spans="47:52" ht="11.45" customHeight="1">
      <c r="AU334"/>
      <c r="AV334"/>
      <c r="AW334"/>
      <c r="AX334"/>
      <c r="AY334"/>
      <c r="AZ334"/>
    </row>
    <row r="335" spans="47:52" ht="11.45" customHeight="1">
      <c r="AU335"/>
      <c r="AV335"/>
      <c r="AW335"/>
      <c r="AX335"/>
      <c r="AY335"/>
      <c r="AZ335"/>
    </row>
    <row r="336" spans="47:52" ht="11.45" customHeight="1">
      <c r="AU336"/>
      <c r="AV336"/>
      <c r="AW336"/>
      <c r="AX336"/>
      <c r="AY336"/>
      <c r="AZ336"/>
    </row>
    <row r="337" spans="47:52" ht="11.45" customHeight="1">
      <c r="AU337"/>
      <c r="AV337"/>
      <c r="AW337"/>
      <c r="AX337"/>
      <c r="AY337"/>
      <c r="AZ337"/>
    </row>
    <row r="338" spans="47:52" ht="11.45" customHeight="1">
      <c r="AU338"/>
      <c r="AV338"/>
      <c r="AW338"/>
      <c r="AX338"/>
      <c r="AY338"/>
      <c r="AZ338"/>
    </row>
    <row r="339" spans="47:52" ht="11.45" customHeight="1">
      <c r="AU339"/>
      <c r="AV339"/>
      <c r="AW339"/>
      <c r="AX339"/>
      <c r="AY339"/>
      <c r="AZ339"/>
    </row>
    <row r="340" spans="47:52" ht="11.45" customHeight="1">
      <c r="AU340"/>
      <c r="AV340"/>
      <c r="AW340"/>
      <c r="AX340"/>
      <c r="AY340"/>
      <c r="AZ340"/>
    </row>
    <row r="341" spans="47:52" ht="11.45" customHeight="1">
      <c r="AU341"/>
      <c r="AV341"/>
      <c r="AW341"/>
      <c r="AX341"/>
      <c r="AY341"/>
      <c r="AZ341"/>
    </row>
    <row r="342" spans="47:52" ht="11.45" customHeight="1">
      <c r="AU342"/>
      <c r="AV342"/>
      <c r="AW342"/>
      <c r="AX342"/>
      <c r="AY342"/>
      <c r="AZ342"/>
    </row>
    <row r="343" spans="47:52" ht="11.45" customHeight="1">
      <c r="AU343"/>
      <c r="AV343"/>
      <c r="AW343"/>
      <c r="AX343"/>
      <c r="AY343"/>
      <c r="AZ343"/>
    </row>
    <row r="344" spans="47:52" ht="11.45" customHeight="1">
      <c r="AU344"/>
      <c r="AV344"/>
      <c r="AW344"/>
      <c r="AX344"/>
      <c r="AY344"/>
      <c r="AZ344"/>
    </row>
    <row r="345" spans="47:52" ht="11.45" customHeight="1">
      <c r="AU345"/>
      <c r="AV345"/>
      <c r="AW345"/>
      <c r="AX345"/>
      <c r="AY345"/>
      <c r="AZ345"/>
    </row>
    <row r="346" spans="47:52" ht="11.45" customHeight="1">
      <c r="AU346"/>
      <c r="AV346"/>
      <c r="AW346"/>
      <c r="AX346"/>
      <c r="AY346"/>
      <c r="AZ346"/>
    </row>
    <row r="347" spans="47:52" ht="11.45" customHeight="1">
      <c r="AU347"/>
      <c r="AV347"/>
      <c r="AW347"/>
      <c r="AX347"/>
      <c r="AY347"/>
      <c r="AZ347"/>
    </row>
    <row r="348" spans="47:52" ht="11.45" customHeight="1">
      <c r="AU348"/>
      <c r="AV348"/>
      <c r="AW348"/>
      <c r="AX348"/>
      <c r="AY348"/>
      <c r="AZ348"/>
    </row>
    <row r="349" spans="47:52" ht="11.45" customHeight="1">
      <c r="AU349"/>
      <c r="AV349"/>
      <c r="AW349"/>
      <c r="AX349"/>
      <c r="AY349"/>
      <c r="AZ349"/>
    </row>
    <row r="350" spans="47:52" ht="11.45" customHeight="1">
      <c r="AU350"/>
      <c r="AV350"/>
      <c r="AW350"/>
      <c r="AX350"/>
      <c r="AY350"/>
      <c r="AZ350"/>
    </row>
    <row r="351" spans="47:52" ht="11.45" customHeight="1">
      <c r="AU351"/>
      <c r="AV351"/>
      <c r="AW351"/>
      <c r="AX351"/>
      <c r="AY351"/>
      <c r="AZ351"/>
    </row>
    <row r="352" spans="47:52" ht="11.45" customHeight="1">
      <c r="AU352"/>
      <c r="AV352"/>
      <c r="AW352"/>
      <c r="AX352"/>
      <c r="AY352"/>
      <c r="AZ352"/>
    </row>
    <row r="353" spans="47:52" ht="11.45" customHeight="1">
      <c r="AU353"/>
      <c r="AV353"/>
      <c r="AW353"/>
      <c r="AX353"/>
      <c r="AY353"/>
      <c r="AZ353"/>
    </row>
    <row r="354" spans="47:52" ht="11.45" customHeight="1">
      <c r="AU354"/>
      <c r="AV354"/>
      <c r="AW354"/>
      <c r="AX354"/>
      <c r="AY354"/>
      <c r="AZ354"/>
    </row>
    <row r="355" spans="47:52" ht="11.45" customHeight="1">
      <c r="AU355"/>
      <c r="AV355"/>
      <c r="AW355"/>
      <c r="AX355"/>
      <c r="AY355"/>
      <c r="AZ355"/>
    </row>
    <row r="356" spans="47:52" ht="11.45" customHeight="1">
      <c r="AU356"/>
      <c r="AV356"/>
      <c r="AW356"/>
      <c r="AX356"/>
      <c r="AY356"/>
      <c r="AZ356"/>
    </row>
    <row r="357" spans="47:52" ht="11.45" customHeight="1">
      <c r="AU357"/>
      <c r="AV357"/>
      <c r="AW357"/>
      <c r="AX357"/>
      <c r="AY357"/>
      <c r="AZ357"/>
    </row>
    <row r="358" spans="47:52" ht="11.45" customHeight="1">
      <c r="AU358"/>
      <c r="AV358"/>
      <c r="AW358"/>
      <c r="AX358"/>
      <c r="AY358"/>
      <c r="AZ358"/>
    </row>
    <row r="359" spans="47:52" ht="11.45" customHeight="1">
      <c r="AU359"/>
      <c r="AV359"/>
      <c r="AW359"/>
      <c r="AX359"/>
      <c r="AY359"/>
      <c r="AZ359"/>
    </row>
    <row r="360" spans="47:52" ht="11.45" customHeight="1">
      <c r="AU360"/>
      <c r="AV360"/>
      <c r="AW360"/>
      <c r="AX360"/>
      <c r="AY360"/>
      <c r="AZ360"/>
    </row>
    <row r="361" spans="47:52" ht="11.45" customHeight="1">
      <c r="AU361"/>
      <c r="AV361"/>
      <c r="AW361"/>
      <c r="AX361"/>
      <c r="AY361"/>
      <c r="AZ361"/>
    </row>
    <row r="362" spans="47:52" ht="11.45" customHeight="1">
      <c r="AU362"/>
      <c r="AV362"/>
      <c r="AW362"/>
      <c r="AX362"/>
      <c r="AY362"/>
      <c r="AZ362"/>
    </row>
    <row r="363" spans="47:52" ht="11.45" customHeight="1">
      <c r="AU363"/>
      <c r="AV363"/>
      <c r="AW363"/>
      <c r="AX363"/>
      <c r="AY363"/>
      <c r="AZ363"/>
    </row>
    <row r="364" spans="47:52" ht="11.45" customHeight="1">
      <c r="AU364"/>
      <c r="AV364"/>
      <c r="AW364"/>
      <c r="AX364"/>
      <c r="AY364"/>
      <c r="AZ364"/>
    </row>
    <row r="365" spans="47:52" ht="11.45" customHeight="1">
      <c r="AU365"/>
      <c r="AV365"/>
      <c r="AW365"/>
      <c r="AX365"/>
      <c r="AY365"/>
      <c r="AZ365"/>
    </row>
    <row r="366" spans="47:52" ht="11.45" customHeight="1">
      <c r="AU366"/>
      <c r="AV366"/>
      <c r="AW366"/>
      <c r="AX366"/>
      <c r="AY366"/>
      <c r="AZ366"/>
    </row>
    <row r="367" spans="47:52" ht="11.45" customHeight="1">
      <c r="AU367"/>
      <c r="AV367"/>
      <c r="AW367"/>
      <c r="AX367"/>
      <c r="AY367"/>
      <c r="AZ367"/>
    </row>
    <row r="368" spans="47:52" ht="11.45" customHeight="1">
      <c r="AU368"/>
      <c r="AV368"/>
      <c r="AW368"/>
      <c r="AX368"/>
      <c r="AY368"/>
      <c r="AZ368"/>
    </row>
    <row r="369" spans="47:52" ht="11.45" customHeight="1">
      <c r="AU369"/>
      <c r="AV369"/>
      <c r="AW369"/>
      <c r="AX369"/>
      <c r="AY369"/>
      <c r="AZ369"/>
    </row>
    <row r="370" spans="47:52" ht="11.45" customHeight="1">
      <c r="AU370"/>
      <c r="AV370"/>
      <c r="AW370"/>
      <c r="AX370"/>
      <c r="AY370"/>
      <c r="AZ370"/>
    </row>
    <row r="371" spans="47:52" ht="11.45" customHeight="1">
      <c r="AU371"/>
      <c r="AV371"/>
      <c r="AW371"/>
      <c r="AX371"/>
      <c r="AY371"/>
      <c r="AZ371"/>
    </row>
    <row r="372" spans="47:52" ht="11.45" customHeight="1">
      <c r="AU372"/>
      <c r="AV372"/>
      <c r="AW372"/>
      <c r="AX372"/>
      <c r="AY372"/>
      <c r="AZ372"/>
    </row>
    <row r="373" spans="47:52" ht="11.45" customHeight="1">
      <c r="AU373"/>
      <c r="AV373"/>
      <c r="AW373"/>
      <c r="AX373"/>
      <c r="AY373"/>
      <c r="AZ373"/>
    </row>
    <row r="374" spans="47:52" ht="11.45" customHeight="1">
      <c r="AU374"/>
      <c r="AV374"/>
      <c r="AW374"/>
      <c r="AX374"/>
      <c r="AY374"/>
      <c r="AZ374"/>
    </row>
    <row r="375" spans="47:52" ht="11.45" customHeight="1">
      <c r="AU375"/>
      <c r="AV375"/>
      <c r="AW375"/>
      <c r="AX375"/>
      <c r="AY375"/>
      <c r="AZ375"/>
    </row>
    <row r="376" spans="47:52" ht="11.45" customHeight="1">
      <c r="AU376"/>
      <c r="AV376"/>
      <c r="AW376"/>
      <c r="AX376"/>
      <c r="AY376"/>
      <c r="AZ376"/>
    </row>
    <row r="377" spans="47:52" ht="11.45" customHeight="1">
      <c r="AU377"/>
      <c r="AV377"/>
      <c r="AW377"/>
      <c r="AX377"/>
      <c r="AY377"/>
      <c r="AZ377"/>
    </row>
    <row r="378" spans="47:52" ht="11.45" customHeight="1">
      <c r="AU378"/>
      <c r="AV378"/>
      <c r="AW378"/>
      <c r="AX378"/>
      <c r="AY378"/>
      <c r="AZ378"/>
    </row>
    <row r="379" spans="47:52" ht="11.45" customHeight="1">
      <c r="AU379"/>
      <c r="AV379"/>
      <c r="AW379"/>
      <c r="AX379"/>
      <c r="AY379"/>
      <c r="AZ379"/>
    </row>
    <row r="380" spans="47:52" ht="11.45" customHeight="1">
      <c r="AU380"/>
      <c r="AV380"/>
      <c r="AW380"/>
      <c r="AX380"/>
      <c r="AY380"/>
      <c r="AZ380"/>
    </row>
    <row r="381" spans="47:52" ht="11.45" customHeight="1">
      <c r="AU381"/>
      <c r="AV381"/>
      <c r="AW381"/>
      <c r="AX381"/>
      <c r="AY381"/>
      <c r="AZ381"/>
    </row>
    <row r="382" spans="47:52" ht="11.45" customHeight="1">
      <c r="AU382"/>
      <c r="AV382"/>
      <c r="AW382"/>
      <c r="AX382"/>
      <c r="AY382"/>
      <c r="AZ382"/>
    </row>
    <row r="383" spans="47:52" ht="11.45" customHeight="1">
      <c r="AU383"/>
      <c r="AV383"/>
      <c r="AW383"/>
      <c r="AX383"/>
      <c r="AY383"/>
      <c r="AZ383"/>
    </row>
    <row r="384" spans="47:52" ht="11.45" customHeight="1">
      <c r="AU384"/>
      <c r="AV384"/>
      <c r="AW384"/>
      <c r="AX384"/>
      <c r="AY384"/>
      <c r="AZ384"/>
    </row>
    <row r="385" spans="47:52" ht="11.45" customHeight="1">
      <c r="AU385"/>
      <c r="AV385"/>
      <c r="AW385"/>
      <c r="AX385"/>
      <c r="AY385"/>
      <c r="AZ385"/>
    </row>
    <row r="386" spans="47:52" ht="11.45" customHeight="1">
      <c r="AU386"/>
      <c r="AV386"/>
      <c r="AW386"/>
      <c r="AX386"/>
      <c r="AY386"/>
      <c r="AZ386"/>
    </row>
    <row r="387" spans="47:52" ht="11.45" customHeight="1">
      <c r="AU387"/>
      <c r="AV387"/>
      <c r="AW387"/>
      <c r="AX387"/>
      <c r="AY387"/>
      <c r="AZ387"/>
    </row>
    <row r="388" spans="47:52" ht="11.45" customHeight="1">
      <c r="AU388"/>
      <c r="AV388"/>
      <c r="AW388"/>
      <c r="AX388"/>
      <c r="AY388"/>
      <c r="AZ388"/>
    </row>
    <row r="389" spans="47:52" ht="11.45" customHeight="1">
      <c r="AU389"/>
      <c r="AV389"/>
      <c r="AW389"/>
      <c r="AX389"/>
      <c r="AY389"/>
      <c r="AZ389"/>
    </row>
    <row r="390" spans="47:52" ht="11.45" customHeight="1">
      <c r="AU390"/>
      <c r="AV390"/>
      <c r="AW390"/>
      <c r="AX390"/>
      <c r="AY390"/>
      <c r="AZ390"/>
    </row>
    <row r="391" spans="47:52" ht="11.45" customHeight="1">
      <c r="AU391"/>
      <c r="AV391"/>
      <c r="AW391"/>
      <c r="AX391"/>
      <c r="AY391"/>
      <c r="AZ391"/>
    </row>
    <row r="392" spans="47:52" ht="11.45" customHeight="1">
      <c r="AU392"/>
      <c r="AV392"/>
      <c r="AW392"/>
      <c r="AX392"/>
      <c r="AY392"/>
      <c r="AZ392"/>
    </row>
    <row r="393" spans="47:52" ht="11.45" customHeight="1">
      <c r="AU393"/>
      <c r="AV393"/>
      <c r="AW393"/>
      <c r="AX393"/>
      <c r="AY393"/>
      <c r="AZ393"/>
    </row>
    <row r="394" spans="47:52" ht="11.45" customHeight="1">
      <c r="AU394"/>
      <c r="AV394"/>
      <c r="AW394"/>
      <c r="AX394"/>
      <c r="AY394"/>
      <c r="AZ394"/>
    </row>
    <row r="395" spans="47:52" ht="11.45" customHeight="1">
      <c r="AU395"/>
      <c r="AV395"/>
      <c r="AW395"/>
      <c r="AX395"/>
      <c r="AY395"/>
      <c r="AZ395"/>
    </row>
    <row r="396" spans="47:52" ht="11.45" customHeight="1">
      <c r="AU396"/>
      <c r="AV396"/>
      <c r="AW396"/>
      <c r="AX396"/>
      <c r="AY396"/>
      <c r="AZ396"/>
    </row>
    <row r="397" spans="47:52" ht="11.45" customHeight="1">
      <c r="AU397"/>
      <c r="AV397"/>
      <c r="AW397"/>
      <c r="AX397"/>
      <c r="AY397"/>
      <c r="AZ397"/>
    </row>
    <row r="398" spans="47:52" ht="11.45" customHeight="1">
      <c r="AU398"/>
      <c r="AV398"/>
      <c r="AW398"/>
      <c r="AX398"/>
      <c r="AY398"/>
      <c r="AZ398"/>
    </row>
    <row r="399" spans="47:52" ht="11.45" customHeight="1">
      <c r="AU399"/>
      <c r="AV399"/>
      <c r="AW399"/>
      <c r="AX399"/>
      <c r="AY399"/>
      <c r="AZ399"/>
    </row>
    <row r="400" spans="47:52" ht="11.45" customHeight="1">
      <c r="AU400"/>
      <c r="AV400"/>
      <c r="AW400"/>
      <c r="AX400"/>
      <c r="AY400"/>
      <c r="AZ400"/>
    </row>
    <row r="401" spans="47:52" ht="11.45" customHeight="1">
      <c r="AU401"/>
      <c r="AV401"/>
      <c r="AW401"/>
      <c r="AX401"/>
      <c r="AY401"/>
      <c r="AZ401"/>
    </row>
    <row r="402" spans="47:52" ht="11.45" customHeight="1">
      <c r="AU402"/>
      <c r="AV402"/>
      <c r="AW402"/>
      <c r="AX402"/>
      <c r="AY402"/>
      <c r="AZ402"/>
    </row>
    <row r="403" spans="47:52" ht="11.45" customHeight="1">
      <c r="AU403"/>
      <c r="AV403"/>
      <c r="AW403"/>
      <c r="AX403"/>
      <c r="AY403"/>
      <c r="AZ403"/>
    </row>
    <row r="404" spans="47:52" ht="11.45" customHeight="1">
      <c r="AU404"/>
      <c r="AV404"/>
      <c r="AW404"/>
      <c r="AX404"/>
      <c r="AY404"/>
      <c r="AZ404"/>
    </row>
    <row r="405" spans="47:52" ht="11.45" customHeight="1">
      <c r="AU405"/>
      <c r="AV405"/>
      <c r="AW405"/>
      <c r="AX405"/>
      <c r="AY405"/>
      <c r="AZ405"/>
    </row>
    <row r="406" spans="47:52" ht="11.45" customHeight="1">
      <c r="AU406"/>
      <c r="AV406"/>
      <c r="AW406"/>
      <c r="AX406"/>
      <c r="AY406"/>
      <c r="AZ406"/>
    </row>
    <row r="407" spans="47:52" ht="11.45" customHeight="1">
      <c r="AU407"/>
      <c r="AV407"/>
      <c r="AW407"/>
      <c r="AX407"/>
      <c r="AY407"/>
      <c r="AZ407"/>
    </row>
    <row r="408" spans="47:52" ht="11.45" customHeight="1">
      <c r="AU408"/>
      <c r="AV408"/>
      <c r="AW408"/>
      <c r="AX408"/>
      <c r="AY408"/>
      <c r="AZ408"/>
    </row>
    <row r="409" spans="47:52" ht="11.45" customHeight="1">
      <c r="AU409"/>
      <c r="AV409"/>
      <c r="AW409"/>
      <c r="AX409"/>
      <c r="AY409"/>
      <c r="AZ409"/>
    </row>
    <row r="410" spans="47:52" ht="11.45" customHeight="1">
      <c r="AU410"/>
      <c r="AV410"/>
      <c r="AW410"/>
      <c r="AX410"/>
      <c r="AY410"/>
      <c r="AZ410"/>
    </row>
    <row r="411" spans="47:52" ht="11.45" customHeight="1">
      <c r="AU411"/>
      <c r="AV411"/>
      <c r="AW411"/>
      <c r="AX411"/>
      <c r="AY411"/>
      <c r="AZ411"/>
    </row>
    <row r="412" spans="47:52" ht="11.45" customHeight="1">
      <c r="AU412"/>
      <c r="AV412"/>
      <c r="AW412"/>
      <c r="AX412"/>
      <c r="AY412"/>
      <c r="AZ412"/>
    </row>
    <row r="413" spans="47:52" ht="11.45" customHeight="1">
      <c r="AU413"/>
      <c r="AV413"/>
      <c r="AW413"/>
      <c r="AX413"/>
      <c r="AY413"/>
      <c r="AZ413"/>
    </row>
    <row r="414" spans="47:52" ht="11.45" customHeight="1">
      <c r="AU414"/>
      <c r="AV414"/>
      <c r="AW414"/>
      <c r="AX414"/>
      <c r="AY414"/>
      <c r="AZ414"/>
    </row>
    <row r="415" spans="47:52" ht="11.45" customHeight="1">
      <c r="AU415"/>
      <c r="AV415"/>
      <c r="AW415"/>
      <c r="AX415"/>
      <c r="AY415"/>
      <c r="AZ415"/>
    </row>
    <row r="416" spans="47:52" ht="11.45" customHeight="1">
      <c r="AU416"/>
      <c r="AV416"/>
      <c r="AW416"/>
      <c r="AX416"/>
      <c r="AY416"/>
      <c r="AZ416"/>
    </row>
    <row r="417" spans="47:52" ht="11.45" customHeight="1">
      <c r="AU417"/>
      <c r="AV417"/>
      <c r="AW417"/>
      <c r="AX417"/>
      <c r="AY417"/>
      <c r="AZ417"/>
    </row>
    <row r="418" spans="47:52" ht="11.45" customHeight="1">
      <c r="AU418"/>
      <c r="AV418"/>
      <c r="AW418"/>
      <c r="AX418"/>
      <c r="AY418"/>
      <c r="AZ418"/>
    </row>
    <row r="419" spans="47:52" ht="11.45" customHeight="1">
      <c r="AU419"/>
      <c r="AV419"/>
      <c r="AW419"/>
      <c r="AX419"/>
      <c r="AY419"/>
      <c r="AZ419"/>
    </row>
    <row r="420" spans="47:52" ht="11.45" customHeight="1">
      <c r="AU420"/>
      <c r="AV420"/>
      <c r="AW420"/>
      <c r="AX420"/>
      <c r="AY420"/>
      <c r="AZ420"/>
    </row>
    <row r="421" spans="47:52" ht="11.45" customHeight="1">
      <c r="AU421"/>
      <c r="AV421"/>
      <c r="AW421"/>
      <c r="AX421"/>
      <c r="AY421"/>
      <c r="AZ421"/>
    </row>
    <row r="422" spans="47:52" ht="11.45" customHeight="1">
      <c r="AU422"/>
      <c r="AV422"/>
      <c r="AW422"/>
      <c r="AX422"/>
      <c r="AY422"/>
      <c r="AZ422"/>
    </row>
    <row r="423" spans="47:52" ht="11.45" customHeight="1">
      <c r="AU423"/>
      <c r="AV423"/>
      <c r="AW423"/>
      <c r="AX423"/>
      <c r="AY423"/>
      <c r="AZ423"/>
    </row>
    <row r="424" spans="47:52" ht="11.45" customHeight="1">
      <c r="AU424"/>
      <c r="AV424"/>
      <c r="AW424"/>
      <c r="AX424"/>
      <c r="AY424"/>
      <c r="AZ424"/>
    </row>
    <row r="425" spans="47:52" ht="11.45" customHeight="1">
      <c r="AU425"/>
      <c r="AV425"/>
      <c r="AW425"/>
      <c r="AX425"/>
      <c r="AY425"/>
      <c r="AZ425"/>
    </row>
    <row r="426" spans="47:52" ht="11.45" customHeight="1">
      <c r="AU426"/>
      <c r="AV426"/>
      <c r="AW426"/>
      <c r="AX426"/>
      <c r="AY426"/>
      <c r="AZ426"/>
    </row>
    <row r="427" spans="47:52" ht="11.45" customHeight="1">
      <c r="AU427"/>
      <c r="AV427"/>
      <c r="AW427"/>
      <c r="AX427"/>
      <c r="AY427"/>
      <c r="AZ427"/>
    </row>
    <row r="428" spans="47:52" ht="11.45" customHeight="1">
      <c r="AU428"/>
      <c r="AV428"/>
      <c r="AW428"/>
      <c r="AX428"/>
      <c r="AY428"/>
      <c r="AZ428"/>
    </row>
    <row r="429" spans="47:52" ht="11.45" customHeight="1">
      <c r="AU429"/>
      <c r="AV429"/>
      <c r="AW429"/>
      <c r="AX429"/>
      <c r="AY429"/>
      <c r="AZ429"/>
    </row>
    <row r="430" spans="47:52" ht="11.45" customHeight="1">
      <c r="AU430"/>
      <c r="AV430"/>
      <c r="AW430"/>
      <c r="AX430"/>
      <c r="AY430"/>
      <c r="AZ430"/>
    </row>
    <row r="431" spans="47:52" ht="11.45" customHeight="1">
      <c r="AU431"/>
      <c r="AV431"/>
      <c r="AW431"/>
      <c r="AX431"/>
      <c r="AY431"/>
      <c r="AZ431"/>
    </row>
    <row r="432" spans="47:52" ht="11.45" customHeight="1">
      <c r="AU432"/>
      <c r="AV432"/>
      <c r="AW432"/>
      <c r="AX432"/>
      <c r="AY432"/>
      <c r="AZ432"/>
    </row>
    <row r="433" spans="47:52" ht="11.45" customHeight="1">
      <c r="AU433"/>
      <c r="AV433"/>
      <c r="AW433"/>
      <c r="AX433"/>
      <c r="AY433"/>
      <c r="AZ433"/>
    </row>
    <row r="434" spans="47:52" ht="11.45" customHeight="1">
      <c r="AU434"/>
      <c r="AV434"/>
      <c r="AW434"/>
      <c r="AX434"/>
      <c r="AY434"/>
      <c r="AZ434"/>
    </row>
    <row r="435" spans="47:52" ht="11.45" customHeight="1">
      <c r="AU435"/>
      <c r="AV435"/>
      <c r="AW435"/>
      <c r="AX435"/>
      <c r="AY435"/>
      <c r="AZ435"/>
    </row>
    <row r="436" spans="47:52" ht="11.45" customHeight="1">
      <c r="AU436"/>
      <c r="AV436"/>
      <c r="AW436"/>
      <c r="AX436"/>
      <c r="AY436"/>
      <c r="AZ436"/>
    </row>
    <row r="437" spans="47:52" ht="11.45" customHeight="1">
      <c r="AU437"/>
      <c r="AV437"/>
      <c r="AW437"/>
      <c r="AX437"/>
      <c r="AY437"/>
      <c r="AZ437"/>
    </row>
    <row r="438" spans="47:52" ht="11.45" customHeight="1">
      <c r="AU438"/>
      <c r="AV438"/>
      <c r="AW438"/>
      <c r="AX438"/>
      <c r="AY438"/>
      <c r="AZ438"/>
    </row>
    <row r="439" spans="47:52" ht="11.45" customHeight="1">
      <c r="AU439"/>
      <c r="AV439"/>
      <c r="AW439"/>
      <c r="AX439"/>
      <c r="AY439"/>
      <c r="AZ439"/>
    </row>
    <row r="440" spans="47:52" ht="11.45" customHeight="1">
      <c r="AU440"/>
      <c r="AV440"/>
      <c r="AW440"/>
      <c r="AX440"/>
      <c r="AY440"/>
      <c r="AZ440"/>
    </row>
    <row r="441" spans="47:52" ht="11.45" customHeight="1">
      <c r="AU441"/>
      <c r="AV441"/>
      <c r="AW441"/>
      <c r="AX441"/>
      <c r="AY441"/>
      <c r="AZ441"/>
    </row>
    <row r="442" spans="47:52" ht="11.45" customHeight="1">
      <c r="AU442"/>
      <c r="AV442"/>
      <c r="AW442"/>
      <c r="AX442"/>
      <c r="AY442"/>
      <c r="AZ442"/>
    </row>
    <row r="443" spans="47:52" ht="11.45" customHeight="1">
      <c r="AU443"/>
      <c r="AV443"/>
      <c r="AW443"/>
      <c r="AX443"/>
      <c r="AY443"/>
      <c r="AZ443"/>
    </row>
    <row r="444" spans="47:52" ht="11.45" customHeight="1">
      <c r="AU444"/>
      <c r="AV444"/>
      <c r="AW444"/>
      <c r="AX444"/>
      <c r="AY444"/>
      <c r="AZ444"/>
    </row>
    <row r="445" spans="47:52" ht="11.45" customHeight="1">
      <c r="AU445"/>
      <c r="AV445"/>
      <c r="AW445"/>
      <c r="AX445"/>
      <c r="AY445"/>
      <c r="AZ445"/>
    </row>
    <row r="446" spans="47:52" ht="11.45" customHeight="1">
      <c r="AU446"/>
      <c r="AV446"/>
      <c r="AW446"/>
      <c r="AX446"/>
      <c r="AY446"/>
      <c r="AZ446"/>
    </row>
    <row r="447" spans="47:52" ht="11.45" customHeight="1">
      <c r="AU447"/>
      <c r="AV447"/>
      <c r="AW447"/>
      <c r="AX447"/>
      <c r="AY447"/>
      <c r="AZ447"/>
    </row>
    <row r="448" spans="47:52" ht="11.45" customHeight="1">
      <c r="AU448"/>
      <c r="AV448"/>
      <c r="AW448"/>
      <c r="AX448"/>
      <c r="AY448"/>
      <c r="AZ448"/>
    </row>
    <row r="449" spans="47:52" ht="11.45" customHeight="1">
      <c r="AU449"/>
      <c r="AV449"/>
      <c r="AW449"/>
      <c r="AX449"/>
      <c r="AY449"/>
      <c r="AZ449"/>
    </row>
    <row r="450" spans="47:52" ht="11.45" customHeight="1">
      <c r="AU450"/>
      <c r="AV450"/>
      <c r="AW450"/>
      <c r="AX450"/>
      <c r="AY450"/>
      <c r="AZ450"/>
    </row>
    <row r="451" spans="47:52" ht="11.45" customHeight="1">
      <c r="AU451"/>
      <c r="AV451"/>
      <c r="AW451"/>
      <c r="AX451"/>
      <c r="AY451"/>
      <c r="AZ451"/>
    </row>
    <row r="452" spans="47:52" ht="11.45" customHeight="1">
      <c r="AU452"/>
      <c r="AV452"/>
      <c r="AW452"/>
      <c r="AX452"/>
      <c r="AY452"/>
      <c r="AZ452"/>
    </row>
    <row r="453" spans="47:52" ht="11.45" customHeight="1">
      <c r="AU453"/>
      <c r="AV453"/>
      <c r="AW453"/>
      <c r="AX453"/>
      <c r="AY453"/>
      <c r="AZ453"/>
    </row>
    <row r="454" spans="47:52" ht="11.45" customHeight="1">
      <c r="AU454"/>
      <c r="AV454"/>
      <c r="AW454"/>
      <c r="AX454"/>
      <c r="AY454"/>
      <c r="AZ454"/>
    </row>
    <row r="455" spans="47:52" ht="11.45" customHeight="1">
      <c r="AU455"/>
      <c r="AV455"/>
      <c r="AW455"/>
      <c r="AX455"/>
      <c r="AY455"/>
      <c r="AZ455"/>
    </row>
    <row r="456" spans="47:52" ht="11.45" customHeight="1">
      <c r="AU456"/>
      <c r="AV456"/>
      <c r="AW456"/>
      <c r="AX456"/>
      <c r="AY456"/>
      <c r="AZ456"/>
    </row>
    <row r="457" spans="47:52" ht="11.45" customHeight="1">
      <c r="AU457"/>
      <c r="AV457"/>
      <c r="AW457"/>
      <c r="AX457"/>
      <c r="AY457"/>
      <c r="AZ457"/>
    </row>
    <row r="458" spans="47:52" ht="11.45" customHeight="1">
      <c r="AU458"/>
      <c r="AV458"/>
      <c r="AW458"/>
      <c r="AX458"/>
      <c r="AY458"/>
      <c r="AZ458"/>
    </row>
    <row r="459" spans="47:52" ht="11.45" customHeight="1">
      <c r="AU459"/>
      <c r="AV459"/>
      <c r="AW459"/>
      <c r="AX459"/>
      <c r="AY459"/>
      <c r="AZ459"/>
    </row>
    <row r="460" spans="47:52" ht="11.45" customHeight="1">
      <c r="AU460"/>
      <c r="AV460"/>
      <c r="AW460"/>
      <c r="AX460"/>
      <c r="AY460"/>
      <c r="AZ460"/>
    </row>
    <row r="461" spans="47:52" ht="11.45" customHeight="1">
      <c r="AU461"/>
      <c r="AV461"/>
      <c r="AW461"/>
      <c r="AX461"/>
      <c r="AY461"/>
      <c r="AZ461"/>
    </row>
    <row r="462" spans="47:52" ht="11.45" customHeight="1">
      <c r="AU462"/>
      <c r="AV462"/>
      <c r="AW462"/>
      <c r="AX462"/>
      <c r="AY462"/>
      <c r="AZ462"/>
    </row>
    <row r="463" spans="47:52" ht="11.45" customHeight="1">
      <c r="AU463"/>
      <c r="AV463"/>
      <c r="AW463"/>
      <c r="AX463"/>
      <c r="AY463"/>
      <c r="AZ463"/>
    </row>
    <row r="464" spans="47:52" ht="11.45" customHeight="1">
      <c r="AU464"/>
      <c r="AV464"/>
      <c r="AW464"/>
      <c r="AX464"/>
      <c r="AY464"/>
      <c r="AZ464"/>
    </row>
    <row r="465" spans="47:52" ht="11.45" customHeight="1">
      <c r="AU465"/>
      <c r="AV465"/>
      <c r="AW465"/>
      <c r="AX465"/>
      <c r="AY465"/>
      <c r="AZ465"/>
    </row>
    <row r="466" spans="47:52" ht="11.45" customHeight="1">
      <c r="AU466"/>
      <c r="AV466"/>
      <c r="AW466"/>
      <c r="AX466"/>
      <c r="AY466"/>
      <c r="AZ466"/>
    </row>
    <row r="467" spans="47:52" ht="11.45" customHeight="1">
      <c r="AU467"/>
      <c r="AV467"/>
      <c r="AW467"/>
      <c r="AX467"/>
      <c r="AY467"/>
      <c r="AZ467"/>
    </row>
    <row r="468" spans="47:52" ht="11.45" customHeight="1">
      <c r="AU468"/>
      <c r="AV468"/>
      <c r="AW468"/>
      <c r="AX468"/>
      <c r="AY468"/>
      <c r="AZ468"/>
    </row>
    <row r="469" spans="47:52" ht="11.45" customHeight="1">
      <c r="AU469"/>
      <c r="AV469"/>
      <c r="AW469"/>
      <c r="AX469"/>
      <c r="AY469"/>
      <c r="AZ469"/>
    </row>
    <row r="470" spans="47:52" ht="11.45" customHeight="1">
      <c r="AU470"/>
      <c r="AV470"/>
      <c r="AW470"/>
      <c r="AX470"/>
      <c r="AY470"/>
      <c r="AZ470"/>
    </row>
    <row r="471" spans="47:52" ht="11.45" customHeight="1">
      <c r="AU471"/>
      <c r="AV471"/>
      <c r="AW471"/>
      <c r="AX471"/>
      <c r="AY471"/>
      <c r="AZ471"/>
    </row>
    <row r="472" spans="47:52" ht="11.45" customHeight="1">
      <c r="AU472"/>
      <c r="AV472"/>
      <c r="AW472"/>
      <c r="AX472"/>
      <c r="AY472"/>
      <c r="AZ472"/>
    </row>
    <row r="473" spans="47:52" ht="11.45" customHeight="1">
      <c r="AU473"/>
      <c r="AV473"/>
      <c r="AW473"/>
      <c r="AX473"/>
      <c r="AY473"/>
      <c r="AZ473"/>
    </row>
    <row r="474" spans="47:52" ht="11.45" customHeight="1">
      <c r="AU474"/>
      <c r="AV474"/>
      <c r="AW474"/>
      <c r="AX474"/>
      <c r="AY474"/>
      <c r="AZ474"/>
    </row>
    <row r="475" spans="47:52" ht="11.45" customHeight="1">
      <c r="AU475"/>
      <c r="AV475"/>
      <c r="AW475"/>
      <c r="AX475"/>
      <c r="AY475"/>
      <c r="AZ475"/>
    </row>
    <row r="476" spans="47:52" ht="11.45" customHeight="1">
      <c r="AU476"/>
      <c r="AV476"/>
      <c r="AW476"/>
      <c r="AX476"/>
      <c r="AY476"/>
      <c r="AZ476"/>
    </row>
    <row r="477" spans="47:52" ht="11.45" customHeight="1">
      <c r="AU477"/>
      <c r="AV477"/>
      <c r="AW477"/>
      <c r="AX477"/>
      <c r="AY477"/>
      <c r="AZ477"/>
    </row>
    <row r="478" spans="47:52" ht="11.45" customHeight="1">
      <c r="AU478"/>
      <c r="AV478"/>
      <c r="AW478"/>
      <c r="AX478"/>
      <c r="AY478"/>
      <c r="AZ478"/>
    </row>
    <row r="479" spans="47:52" ht="11.45" customHeight="1">
      <c r="AU479"/>
      <c r="AV479"/>
      <c r="AW479"/>
      <c r="AX479"/>
      <c r="AY479"/>
      <c r="AZ479"/>
    </row>
    <row r="480" spans="47:52" ht="11.45" customHeight="1">
      <c r="AU480"/>
      <c r="AV480"/>
      <c r="AW480"/>
      <c r="AX480"/>
      <c r="AY480"/>
      <c r="AZ480"/>
    </row>
    <row r="481" spans="47:52" ht="11.45" customHeight="1">
      <c r="AU481"/>
      <c r="AV481"/>
      <c r="AW481"/>
      <c r="AX481"/>
      <c r="AY481"/>
      <c r="AZ481"/>
    </row>
    <row r="482" spans="47:52" ht="11.45" customHeight="1">
      <c r="AU482"/>
      <c r="AV482"/>
      <c r="AW482"/>
      <c r="AX482"/>
      <c r="AY482"/>
      <c r="AZ482"/>
    </row>
    <row r="483" spans="47:52" ht="11.45" customHeight="1">
      <c r="AU483"/>
      <c r="AV483"/>
      <c r="AW483"/>
      <c r="AX483"/>
      <c r="AY483"/>
      <c r="AZ483"/>
    </row>
    <row r="484" spans="47:52" ht="11.45" customHeight="1">
      <c r="AU484"/>
      <c r="AV484"/>
      <c r="AW484"/>
      <c r="AX484"/>
      <c r="AY484"/>
      <c r="AZ484"/>
    </row>
    <row r="485" spans="47:52" ht="11.45" customHeight="1">
      <c r="AU485"/>
      <c r="AV485"/>
      <c r="AW485"/>
      <c r="AX485"/>
      <c r="AY485"/>
      <c r="AZ485"/>
    </row>
    <row r="486" spans="47:52" ht="11.45" customHeight="1">
      <c r="AU486"/>
      <c r="AV486"/>
      <c r="AW486"/>
      <c r="AX486"/>
      <c r="AY486"/>
      <c r="AZ486"/>
    </row>
    <row r="487" spans="47:52" ht="11.45" customHeight="1">
      <c r="AU487"/>
      <c r="AV487"/>
      <c r="AW487"/>
      <c r="AX487"/>
      <c r="AY487"/>
      <c r="AZ487"/>
    </row>
    <row r="488" spans="47:52" ht="11.45" customHeight="1">
      <c r="AU488"/>
      <c r="AV488"/>
      <c r="AW488"/>
      <c r="AX488"/>
      <c r="AY488"/>
      <c r="AZ488"/>
    </row>
    <row r="489" spans="47:52" ht="11.45" customHeight="1">
      <c r="AU489"/>
      <c r="AV489"/>
      <c r="AW489"/>
      <c r="AX489"/>
      <c r="AY489"/>
      <c r="AZ489"/>
    </row>
    <row r="490" spans="47:52" ht="11.45" customHeight="1">
      <c r="AU490"/>
      <c r="AV490"/>
      <c r="AW490"/>
      <c r="AX490"/>
      <c r="AY490"/>
      <c r="AZ490"/>
    </row>
    <row r="491" spans="47:52" ht="11.45" customHeight="1">
      <c r="AU491"/>
      <c r="AV491"/>
      <c r="AW491"/>
      <c r="AX491"/>
      <c r="AY491"/>
      <c r="AZ491"/>
    </row>
    <row r="492" spans="47:52" ht="11.45" customHeight="1">
      <c r="AU492"/>
      <c r="AV492"/>
      <c r="AW492"/>
      <c r="AX492"/>
      <c r="AY492"/>
      <c r="AZ492"/>
    </row>
    <row r="493" spans="47:52" ht="11.45" customHeight="1">
      <c r="AU493"/>
      <c r="AV493"/>
      <c r="AW493"/>
      <c r="AX493"/>
      <c r="AY493"/>
      <c r="AZ493"/>
    </row>
    <row r="494" spans="47:52" ht="11.45" customHeight="1">
      <c r="AU494"/>
      <c r="AV494"/>
      <c r="AW494"/>
      <c r="AX494"/>
      <c r="AY494"/>
      <c r="AZ494"/>
    </row>
    <row r="495" spans="47:52" ht="11.45" customHeight="1">
      <c r="AU495"/>
      <c r="AV495"/>
      <c r="AW495"/>
      <c r="AX495"/>
      <c r="AY495"/>
      <c r="AZ495"/>
    </row>
    <row r="496" spans="47:52" ht="11.45" customHeight="1">
      <c r="AU496"/>
      <c r="AV496"/>
      <c r="AW496"/>
      <c r="AX496"/>
      <c r="AY496"/>
      <c r="AZ496"/>
    </row>
    <row r="497" spans="47:52" ht="11.45" customHeight="1">
      <c r="AU497"/>
      <c r="AV497"/>
      <c r="AW497"/>
      <c r="AX497"/>
      <c r="AY497"/>
      <c r="AZ497"/>
    </row>
    <row r="498" spans="47:52" ht="11.45" customHeight="1">
      <c r="AU498"/>
      <c r="AV498"/>
      <c r="AW498"/>
      <c r="AX498"/>
      <c r="AY498"/>
      <c r="AZ498"/>
    </row>
    <row r="499" spans="47:52" ht="11.45" customHeight="1">
      <c r="AU499"/>
      <c r="AV499"/>
      <c r="AW499"/>
      <c r="AX499"/>
      <c r="AY499"/>
      <c r="AZ499"/>
    </row>
    <row r="500" spans="47:52" ht="11.45" customHeight="1">
      <c r="AU500"/>
      <c r="AV500"/>
      <c r="AW500"/>
      <c r="AX500"/>
      <c r="AY500"/>
      <c r="AZ500"/>
    </row>
    <row r="501" spans="47:52" ht="11.45" customHeight="1">
      <c r="AU501"/>
      <c r="AV501"/>
      <c r="AW501"/>
      <c r="AX501"/>
      <c r="AY501"/>
      <c r="AZ501"/>
    </row>
    <row r="502" spans="47:52" ht="11.45" customHeight="1">
      <c r="AU502"/>
      <c r="AV502"/>
      <c r="AW502"/>
      <c r="AX502"/>
      <c r="AY502"/>
      <c r="AZ502"/>
    </row>
    <row r="503" spans="47:52" ht="11.45" customHeight="1">
      <c r="AU503"/>
      <c r="AV503"/>
      <c r="AW503"/>
      <c r="AX503"/>
      <c r="AY503"/>
      <c r="AZ503"/>
    </row>
    <row r="504" spans="47:52" ht="11.45" customHeight="1">
      <c r="AU504"/>
      <c r="AV504"/>
      <c r="AW504"/>
      <c r="AX504"/>
      <c r="AY504"/>
      <c r="AZ504"/>
    </row>
    <row r="505" spans="47:52" ht="11.45" customHeight="1">
      <c r="AU505"/>
      <c r="AV505"/>
      <c r="AW505"/>
      <c r="AX505"/>
      <c r="AY505"/>
      <c r="AZ505"/>
    </row>
    <row r="506" spans="47:52" ht="11.45" customHeight="1">
      <c r="AU506"/>
      <c r="AV506"/>
      <c r="AW506"/>
      <c r="AX506"/>
      <c r="AY506"/>
      <c r="AZ506"/>
    </row>
    <row r="507" spans="47:52" ht="11.45" customHeight="1">
      <c r="AU507"/>
      <c r="AV507"/>
      <c r="AW507"/>
      <c r="AX507"/>
      <c r="AY507"/>
      <c r="AZ507"/>
    </row>
    <row r="508" spans="47:52" ht="11.45" customHeight="1">
      <c r="AU508"/>
      <c r="AV508"/>
      <c r="AW508"/>
      <c r="AX508"/>
      <c r="AY508"/>
      <c r="AZ508"/>
    </row>
    <row r="509" spans="47:52" ht="11.45" customHeight="1">
      <c r="AU509"/>
      <c r="AV509"/>
      <c r="AW509"/>
      <c r="AX509"/>
      <c r="AY509"/>
      <c r="AZ509"/>
    </row>
    <row r="510" spans="47:52" ht="11.45" customHeight="1">
      <c r="AU510"/>
      <c r="AV510"/>
      <c r="AW510"/>
      <c r="AX510"/>
      <c r="AY510"/>
      <c r="AZ510"/>
    </row>
    <row r="511" spans="47:52" ht="11.45" customHeight="1">
      <c r="AU511"/>
      <c r="AV511"/>
      <c r="AW511"/>
      <c r="AX511"/>
      <c r="AY511"/>
      <c r="AZ511"/>
    </row>
    <row r="512" spans="47:52" ht="11.45" customHeight="1">
      <c r="AU512"/>
      <c r="AV512"/>
      <c r="AW512"/>
      <c r="AX512"/>
      <c r="AY512"/>
      <c r="AZ512"/>
    </row>
    <row r="513" spans="47:52" ht="11.45" customHeight="1">
      <c r="AU513"/>
      <c r="AV513"/>
      <c r="AW513"/>
      <c r="AX513"/>
      <c r="AY513"/>
      <c r="AZ513"/>
    </row>
    <row r="514" spans="47:52" ht="11.45" customHeight="1">
      <c r="AU514"/>
      <c r="AV514"/>
      <c r="AW514"/>
      <c r="AX514"/>
      <c r="AY514"/>
      <c r="AZ514"/>
    </row>
    <row r="515" spans="47:52" ht="11.45" customHeight="1">
      <c r="AU515"/>
      <c r="AV515"/>
      <c r="AW515"/>
      <c r="AX515"/>
      <c r="AY515"/>
      <c r="AZ515"/>
    </row>
    <row r="516" spans="47:52" ht="11.45" customHeight="1">
      <c r="AU516"/>
      <c r="AV516"/>
      <c r="AW516"/>
      <c r="AX516"/>
      <c r="AY516"/>
      <c r="AZ516"/>
    </row>
    <row r="517" spans="47:52" ht="11.45" customHeight="1">
      <c r="AU517"/>
      <c r="AV517"/>
      <c r="AW517"/>
      <c r="AX517"/>
      <c r="AY517"/>
      <c r="AZ517"/>
    </row>
    <row r="518" spans="47:52" ht="11.45" customHeight="1">
      <c r="AU518"/>
      <c r="AV518"/>
      <c r="AW518"/>
      <c r="AX518"/>
      <c r="AY518"/>
      <c r="AZ518"/>
    </row>
    <row r="519" spans="47:52" ht="11.45" customHeight="1">
      <c r="AU519"/>
      <c r="AV519"/>
      <c r="AW519"/>
      <c r="AX519"/>
      <c r="AY519"/>
      <c r="AZ519"/>
    </row>
    <row r="520" spans="47:52" ht="11.45" customHeight="1">
      <c r="AU520"/>
      <c r="AV520"/>
      <c r="AW520"/>
      <c r="AX520"/>
      <c r="AY520"/>
      <c r="AZ520"/>
    </row>
    <row r="521" spans="47:52" ht="11.45" customHeight="1">
      <c r="AU521"/>
      <c r="AV521"/>
      <c r="AW521"/>
      <c r="AX521"/>
      <c r="AY521"/>
      <c r="AZ521"/>
    </row>
    <row r="522" spans="47:52" ht="11.45" customHeight="1">
      <c r="AU522"/>
      <c r="AV522"/>
      <c r="AW522"/>
      <c r="AX522"/>
      <c r="AY522"/>
      <c r="AZ522"/>
    </row>
  </sheetData>
  <sortState xmlns:xlrd2="http://schemas.microsoft.com/office/spreadsheetml/2017/richdata2" ref="B9:AC10">
    <sortCondition ref="B9"/>
  </sortState>
  <mergeCells count="3">
    <mergeCell ref="B1:O1"/>
    <mergeCell ref="P4:U4"/>
    <mergeCell ref="AD1:AD200"/>
  </mergeCells>
  <conditionalFormatting sqref="I40">
    <cfRule type="cellIs" dxfId="0" priority="1" operator="lessThan">
      <formula>25</formula>
    </cfRule>
  </conditionalFormatting>
  <dataValidations disablePrompts="1" count="2">
    <dataValidation type="list" allowBlank="1" showInputMessage="1" showErrorMessage="1" sqref="H29" xr:uid="{7DB9EFD9-E784-464D-B93C-ABBEF7F1E8CE}">
      <formula1>$D$43:$D$44</formula1>
    </dataValidation>
    <dataValidation type="list" allowBlank="1" showInputMessage="1" showErrorMessage="1" sqref="H33 H37" xr:uid="{9801D4AE-E571-4CBA-A92E-D326A24D3A44}">
      <formula1>$C$43:$C$44</formula1>
    </dataValidation>
  </dataValidation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Mikhail Vlasov</cp:lastModifiedBy>
  <cp:lastPrinted>2019-09-20T06:01:49Z</cp:lastPrinted>
  <dcterms:created xsi:type="dcterms:W3CDTF">2017-08-22T06:42:31Z</dcterms:created>
  <dcterms:modified xsi:type="dcterms:W3CDTF">2025-10-19T17:47:54Z</dcterms:modified>
</cp:coreProperties>
</file>